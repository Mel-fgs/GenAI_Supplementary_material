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oBook PRO\Desktop\Amanda\Research\Articles\Percepcion Uso IA\Repositorio\"/>
    </mc:Choice>
  </mc:AlternateContent>
  <xr:revisionPtr revIDLastSave="0" documentId="13_ncr:1_{84605AA3-2664-4D6F-944E-8579A6F8B5B3}" xr6:coauthVersionLast="47" xr6:coauthVersionMax="47" xr10:uidLastSave="{00000000-0000-0000-0000-000000000000}"/>
  <bookViews>
    <workbookView xWindow="-98" yWindow="-98" windowWidth="21795" windowHeight="11625" tabRatio="712" xr2:uid="{E75543B5-B6BC-4F94-B422-48B3ACE13218}"/>
  </bookViews>
  <sheets>
    <sheet name="Degree program" sheetId="1" r:id="rId1"/>
    <sheet name="Field of knowledge" sheetId="4" r:id="rId2"/>
    <sheet name="Modality" sheetId="2" r:id="rId3"/>
    <sheet name="Gender" sheetId="3" r:id="rId4"/>
    <sheet name="Freq_analysis" sheetId="6" r:id="rId5"/>
    <sheet name="Percep_analysi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4" i="7" l="1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" i="7"/>
</calcChain>
</file>

<file path=xl/sharedStrings.xml><?xml version="1.0" encoding="utf-8"?>
<sst xmlns="http://schemas.openxmlformats.org/spreadsheetml/2006/main" count="1838" uniqueCount="812">
  <si>
    <t>N</t>
  </si>
  <si>
    <t>3.15</t>
  </si>
  <si>
    <t>3.53</t>
  </si>
  <si>
    <t>3.14</t>
  </si>
  <si>
    <t>3.23</t>
  </si>
  <si>
    <t>3.24</t>
  </si>
  <si>
    <t>2.61</t>
  </si>
  <si>
    <t>2.79</t>
  </si>
  <si>
    <t>3.00</t>
  </si>
  <si>
    <t>4.00</t>
  </si>
  <si>
    <t>2.00</t>
  </si>
  <si>
    <t>1.14</t>
  </si>
  <si>
    <t>1.17</t>
  </si>
  <si>
    <t>1.22</t>
  </si>
  <si>
    <t>1.18</t>
  </si>
  <si>
    <t>Stadistic</t>
  </si>
  <si>
    <t>F1</t>
  </si>
  <si>
    <t>F2</t>
  </si>
  <si>
    <t>F3</t>
  </si>
  <si>
    <t>F4</t>
  </si>
  <si>
    <t>F5</t>
  </si>
  <si>
    <t>F6</t>
  </si>
  <si>
    <t>Mean</t>
  </si>
  <si>
    <t>3.31</t>
  </si>
  <si>
    <t>3.25</t>
  </si>
  <si>
    <t>3.20</t>
  </si>
  <si>
    <t>SD</t>
  </si>
  <si>
    <t>0.579</t>
  </si>
  <si>
    <t>0.440</t>
  </si>
  <si>
    <t>0.554</t>
  </si>
  <si>
    <t>0.658</t>
  </si>
  <si>
    <t>0.659</t>
  </si>
  <si>
    <t>0.516</t>
  </si>
  <si>
    <t>2.42</t>
  </si>
  <si>
    <t>2.07</t>
  </si>
  <si>
    <t>2.21</t>
  </si>
  <si>
    <t>2.19</t>
  </si>
  <si>
    <t>1.67</t>
  </si>
  <si>
    <t>1.13</t>
  </si>
  <si>
    <t>0.778</t>
  </si>
  <si>
    <t>0.896</t>
  </si>
  <si>
    <t>1.11</t>
  </si>
  <si>
    <t>0.720</t>
  </si>
  <si>
    <t>1.15</t>
  </si>
  <si>
    <t>2.68</t>
  </si>
  <si>
    <t>2.87</t>
  </si>
  <si>
    <t>2.94</t>
  </si>
  <si>
    <t>2.70</t>
  </si>
  <si>
    <t>2.52</t>
  </si>
  <si>
    <t>0.549</t>
  </si>
  <si>
    <t>0.564</t>
  </si>
  <si>
    <t>0.505</t>
  </si>
  <si>
    <t>0.688</t>
  </si>
  <si>
    <t>0.608</t>
  </si>
  <si>
    <t>3.32</t>
  </si>
  <si>
    <t>3.44</t>
  </si>
  <si>
    <t>3.28</t>
  </si>
  <si>
    <t>3.21</t>
  </si>
  <si>
    <t>3.19</t>
  </si>
  <si>
    <t>0.635</t>
  </si>
  <si>
    <t>0.764</t>
  </si>
  <si>
    <t>0.731</t>
  </si>
  <si>
    <t>0.711</t>
  </si>
  <si>
    <t>0.774</t>
  </si>
  <si>
    <t>1.01</t>
  </si>
  <si>
    <t>3.38</t>
  </si>
  <si>
    <t>2.86</t>
  </si>
  <si>
    <t>3.08</t>
  </si>
  <si>
    <t>2.69</t>
  </si>
  <si>
    <t>1.25</t>
  </si>
  <si>
    <t>0.690</t>
  </si>
  <si>
    <t>0.419</t>
  </si>
  <si>
    <t>0.816</t>
  </si>
  <si>
    <t>0.957</t>
  </si>
  <si>
    <t>2.89</t>
  </si>
  <si>
    <t>3.29</t>
  </si>
  <si>
    <t>2.75</t>
  </si>
  <si>
    <t>3.50</t>
  </si>
  <si>
    <t>0.645</t>
  </si>
  <si>
    <t>0.438</t>
  </si>
  <si>
    <t>0.935</t>
  </si>
  <si>
    <t>0.707</t>
  </si>
  <si>
    <t>3.39</t>
  </si>
  <si>
    <t>3.33</t>
  </si>
  <si>
    <t>0.647</t>
  </si>
  <si>
    <t>0.667</t>
  </si>
  <si>
    <t>0.606</t>
  </si>
  <si>
    <t>0.625</t>
  </si>
  <si>
    <t>0.794</t>
  </si>
  <si>
    <t>0.897</t>
  </si>
  <si>
    <t>2.50</t>
  </si>
  <si>
    <t>3.07</t>
  </si>
  <si>
    <t>2.67</t>
  </si>
  <si>
    <t>0.303</t>
  </si>
  <si>
    <t>0.589</t>
  </si>
  <si>
    <t>0.00</t>
  </si>
  <si>
    <t>0.471</t>
  </si>
  <si>
    <t>3.11</t>
  </si>
  <si>
    <t>3.02</t>
  </si>
  <si>
    <t>2.99</t>
  </si>
  <si>
    <t>3.10</t>
  </si>
  <si>
    <t>0.540</t>
  </si>
  <si>
    <t>0.580</t>
  </si>
  <si>
    <t>0.464</t>
  </si>
  <si>
    <t>0.590</t>
  </si>
  <si>
    <t>0.697</t>
  </si>
  <si>
    <t>0.664</t>
  </si>
  <si>
    <t>3.30</t>
  </si>
  <si>
    <t>3.36</t>
  </si>
  <si>
    <t>3.05</t>
  </si>
  <si>
    <t>1.08</t>
  </si>
  <si>
    <t>1.12</t>
  </si>
  <si>
    <t>0.942</t>
  </si>
  <si>
    <t>0.927</t>
  </si>
  <si>
    <t>1.00</t>
  </si>
  <si>
    <t>2.82</t>
  </si>
  <si>
    <t>2.53</t>
  </si>
  <si>
    <t>2.77</t>
  </si>
  <si>
    <t>2.60</t>
  </si>
  <si>
    <t>2.65</t>
  </si>
  <si>
    <t>1.16</t>
  </si>
  <si>
    <t>1.07</t>
  </si>
  <si>
    <t>0.991</t>
  </si>
  <si>
    <t>2.83</t>
  </si>
  <si>
    <t>3.17</t>
  </si>
  <si>
    <t>2.98</t>
  </si>
  <si>
    <t>2.85</t>
  </si>
  <si>
    <t>0.598</t>
  </si>
  <si>
    <t>0.622</t>
  </si>
  <si>
    <t>0.453</t>
  </si>
  <si>
    <t>0.565</t>
  </si>
  <si>
    <t>1.03</t>
  </si>
  <si>
    <t>2.78</t>
  </si>
  <si>
    <t>3.04</t>
  </si>
  <si>
    <t>3.06</t>
  </si>
  <si>
    <t>2.92</t>
  </si>
  <si>
    <t>0.970</t>
  </si>
  <si>
    <t>0.743</t>
  </si>
  <si>
    <t>0.953</t>
  </si>
  <si>
    <t>0.765</t>
  </si>
  <si>
    <t>3.59</t>
  </si>
  <si>
    <t>0.865</t>
  </si>
  <si>
    <t>0.858</t>
  </si>
  <si>
    <t>0.844</t>
  </si>
  <si>
    <t>0.853</t>
  </si>
  <si>
    <t>0.843</t>
  </si>
  <si>
    <t>0.907</t>
  </si>
  <si>
    <t>3.40</t>
  </si>
  <si>
    <t>3.22</t>
  </si>
  <si>
    <t>0.483</t>
  </si>
  <si>
    <t>0.681</t>
  </si>
  <si>
    <t>0.568</t>
  </si>
  <si>
    <t>0.619</t>
  </si>
  <si>
    <t>3.42</t>
  </si>
  <si>
    <t>3.35</t>
  </si>
  <si>
    <t>0.793</t>
  </si>
  <si>
    <t>0.876</t>
  </si>
  <si>
    <t>3.43</t>
  </si>
  <si>
    <t>3.58</t>
  </si>
  <si>
    <t>3.63</t>
  </si>
  <si>
    <t>3.13</t>
  </si>
  <si>
    <t>1.06</t>
  </si>
  <si>
    <t>0.946</t>
  </si>
  <si>
    <t>1.44</t>
  </si>
  <si>
    <t>3.37</t>
  </si>
  <si>
    <t>3.65</t>
  </si>
  <si>
    <t>3.41</t>
  </si>
  <si>
    <t>0.710</t>
  </si>
  <si>
    <t>0.769</t>
  </si>
  <si>
    <t>0.654</t>
  </si>
  <si>
    <t>0.790</t>
  </si>
  <si>
    <t>0.981</t>
  </si>
  <si>
    <t>0.888</t>
  </si>
  <si>
    <t>NaN</t>
  </si>
  <si>
    <t>0.689</t>
  </si>
  <si>
    <t>0.660</t>
  </si>
  <si>
    <t>0.780</t>
  </si>
  <si>
    <t>0.845</t>
  </si>
  <si>
    <t>3.45</t>
  </si>
  <si>
    <t>3.09</t>
  </si>
  <si>
    <t>0.581</t>
  </si>
  <si>
    <t>0.692</t>
  </si>
  <si>
    <t>0.500</t>
  </si>
  <si>
    <t>0.607</t>
  </si>
  <si>
    <t>0.864</t>
  </si>
  <si>
    <t>3.77</t>
  </si>
  <si>
    <t>3.68</t>
  </si>
  <si>
    <t>3.82</t>
  </si>
  <si>
    <t>3.54</t>
  </si>
  <si>
    <t>0.629</t>
  </si>
  <si>
    <t>0.615</t>
  </si>
  <si>
    <t>0.923</t>
  </si>
  <si>
    <t>0.947</t>
  </si>
  <si>
    <t>2.88</t>
  </si>
  <si>
    <t>2.71</t>
  </si>
  <si>
    <t>0.671</t>
  </si>
  <si>
    <t>0.708</t>
  </si>
  <si>
    <t>0.461</t>
  </si>
  <si>
    <t>0.463</t>
  </si>
  <si>
    <t>0.881</t>
  </si>
  <si>
    <t>1.10</t>
  </si>
  <si>
    <t>2.95</t>
  </si>
  <si>
    <t>0.815</t>
  </si>
  <si>
    <t>0.732</t>
  </si>
  <si>
    <t>0.989</t>
  </si>
  <si>
    <t>3.16</t>
  </si>
  <si>
    <t>0.479</t>
  </si>
  <si>
    <t>0.430</t>
  </si>
  <si>
    <t>0.339</t>
  </si>
  <si>
    <t>0.476</t>
  </si>
  <si>
    <t>0.405</t>
  </si>
  <si>
    <t>0.497</t>
  </si>
  <si>
    <t>3.01</t>
  </si>
  <si>
    <t>0.541</t>
  </si>
  <si>
    <t>0.563</t>
  </si>
  <si>
    <t>0.506</t>
  </si>
  <si>
    <t>0.536</t>
  </si>
  <si>
    <t>0.725</t>
  </si>
  <si>
    <t>0.833</t>
  </si>
  <si>
    <t>0.762</t>
  </si>
  <si>
    <t>0.766</t>
  </si>
  <si>
    <t>0.926</t>
  </si>
  <si>
    <t>0.952</t>
  </si>
  <si>
    <t>3.67</t>
  </si>
  <si>
    <t>4.29</t>
  </si>
  <si>
    <t>4.50</t>
  </si>
  <si>
    <t>4.67</t>
  </si>
  <si>
    <t>2.46</t>
  </si>
  <si>
    <t>2.32</t>
  </si>
  <si>
    <t>2.63</t>
  </si>
  <si>
    <t>2.25</t>
  </si>
  <si>
    <t>0.370</t>
  </si>
  <si>
    <t>0.786</t>
  </si>
  <si>
    <t>0.397</t>
  </si>
  <si>
    <t>0.250</t>
  </si>
  <si>
    <t>0.569</t>
  </si>
  <si>
    <t>2.97</t>
  </si>
  <si>
    <t>3.51</t>
  </si>
  <si>
    <t>0.670</t>
  </si>
  <si>
    <t>0.678</t>
  </si>
  <si>
    <t>0.863</t>
  </si>
  <si>
    <t>0.902</t>
  </si>
  <si>
    <t>3.86</t>
  </si>
  <si>
    <t>4.33</t>
  </si>
  <si>
    <t>Degree program</t>
  </si>
  <si>
    <t>Business Administration</t>
  </si>
  <si>
    <t>Anthropology</t>
  </si>
  <si>
    <t>Architecture</t>
  </si>
  <si>
    <t>Biomedicine</t>
  </si>
  <si>
    <t>Biochemistry and Pharmacy</t>
  </si>
  <si>
    <t>Biotechnology</t>
  </si>
  <si>
    <t>Computer Science</t>
  </si>
  <si>
    <t>Communication</t>
  </si>
  <si>
    <t>Accounting and Auditing</t>
  </si>
  <si>
    <t>Law</t>
  </si>
  <si>
    <t>Multimedia Design</t>
  </si>
  <si>
    <t>Economics</t>
  </si>
  <si>
    <t>Basic Education</t>
  </si>
  <si>
    <t>Early Childhood Education</t>
  </si>
  <si>
    <t>Electrical Engineering</t>
  </si>
  <si>
    <t>Electronic Engineering</t>
  </si>
  <si>
    <t>Nursing</t>
  </si>
  <si>
    <t>Physiotherapy</t>
  </si>
  <si>
    <t>Environmental Engineering</t>
  </si>
  <si>
    <t>Automotive Engineering</t>
  </si>
  <si>
    <t>Civil Engineering</t>
  </si>
  <si>
    <t>Mechatronics Engineering</t>
  </si>
  <si>
    <t>Mechanical Engineering</t>
  </si>
  <si>
    <t>Veterinary Medicine</t>
  </si>
  <si>
    <t>Digital Business</t>
  </si>
  <si>
    <t>Dentistry</t>
  </si>
  <si>
    <t>Sport Pedagogy</t>
  </si>
  <si>
    <t>Psychology</t>
  </si>
  <si>
    <t>Clinical Psychology</t>
  </si>
  <si>
    <t>Software Engineering</t>
  </si>
  <si>
    <t>Theology</t>
  </si>
  <si>
    <t>QF1</t>
  </si>
  <si>
    <t>QF2</t>
  </si>
  <si>
    <t>QF3</t>
  </si>
  <si>
    <t>QF4</t>
  </si>
  <si>
    <t>QF5</t>
  </si>
  <si>
    <t>QF6</t>
  </si>
  <si>
    <t>QF7</t>
  </si>
  <si>
    <t>3.26</t>
  </si>
  <si>
    <t>2.81</t>
  </si>
  <si>
    <t>3.03</t>
  </si>
  <si>
    <t>0.893</t>
  </si>
  <si>
    <t>1.75</t>
  </si>
  <si>
    <t>1.50</t>
  </si>
  <si>
    <t>2.64</t>
  </si>
  <si>
    <t>1.79</t>
  </si>
  <si>
    <t>2.93</t>
  </si>
  <si>
    <t>0.745</t>
  </si>
  <si>
    <t>1.34</t>
  </si>
  <si>
    <t>1.05</t>
  </si>
  <si>
    <t>1.21</t>
  </si>
  <si>
    <t>3.79</t>
  </si>
  <si>
    <t>3.62</t>
  </si>
  <si>
    <t>3.48</t>
  </si>
  <si>
    <t>2.59</t>
  </si>
  <si>
    <t>2.90</t>
  </si>
  <si>
    <t>0.861</t>
  </si>
  <si>
    <t>0.979</t>
  </si>
  <si>
    <t>0.986</t>
  </si>
  <si>
    <t>0.900</t>
  </si>
  <si>
    <t>3.75</t>
  </si>
  <si>
    <t>0.577</t>
  </si>
  <si>
    <t>1.29</t>
  </si>
  <si>
    <t>4.25</t>
  </si>
  <si>
    <t>1.26</t>
  </si>
  <si>
    <t>3.73</t>
  </si>
  <si>
    <t>3.27</t>
  </si>
  <si>
    <t>0.796</t>
  </si>
  <si>
    <t>0.940</t>
  </si>
  <si>
    <t>1.19</t>
  </si>
  <si>
    <t>1.27</t>
  </si>
  <si>
    <t>2.12</t>
  </si>
  <si>
    <t>1.41</t>
  </si>
  <si>
    <t>3.12</t>
  </si>
  <si>
    <t>0.949</t>
  </si>
  <si>
    <t>0.840</t>
  </si>
  <si>
    <t>0.994</t>
  </si>
  <si>
    <t>0.997</t>
  </si>
  <si>
    <t>1.38</t>
  </si>
  <si>
    <t>1.20</t>
  </si>
  <si>
    <t>2.10</t>
  </si>
  <si>
    <t>1.40</t>
  </si>
  <si>
    <t>1.85</t>
  </si>
  <si>
    <t>1.83</t>
  </si>
  <si>
    <t>1.65</t>
  </si>
  <si>
    <t>2.91</t>
  </si>
  <si>
    <t>2.45</t>
  </si>
  <si>
    <t>0.874</t>
  </si>
  <si>
    <t>0.701</t>
  </si>
  <si>
    <t>2.33</t>
  </si>
  <si>
    <t>2.17</t>
  </si>
  <si>
    <t>0.894</t>
  </si>
  <si>
    <t>1.97</t>
  </si>
  <si>
    <t>1.64</t>
  </si>
  <si>
    <t>1.47</t>
  </si>
  <si>
    <t>3.18</t>
  </si>
  <si>
    <t>3.64</t>
  </si>
  <si>
    <t>3.55</t>
  </si>
  <si>
    <t>2.73</t>
  </si>
  <si>
    <t>0.751</t>
  </si>
  <si>
    <t>2.58</t>
  </si>
  <si>
    <t>0.878</t>
  </si>
  <si>
    <t>0.903</t>
  </si>
  <si>
    <t>3.61</t>
  </si>
  <si>
    <t>3.57</t>
  </si>
  <si>
    <t>0.941</t>
  </si>
  <si>
    <t>0.992</t>
  </si>
  <si>
    <t>1.33</t>
  </si>
  <si>
    <t>1.24</t>
  </si>
  <si>
    <t>0.963</t>
  </si>
  <si>
    <t>0.922</t>
  </si>
  <si>
    <t>1.04</t>
  </si>
  <si>
    <t>5.00</t>
  </si>
  <si>
    <t>3.34</t>
  </si>
  <si>
    <t>2.66</t>
  </si>
  <si>
    <t>2.96</t>
  </si>
  <si>
    <t>0.859</t>
  </si>
  <si>
    <t>2.37</t>
  </si>
  <si>
    <t>0.848</t>
  </si>
  <si>
    <t>3.69</t>
  </si>
  <si>
    <t>2.54</t>
  </si>
  <si>
    <t>2.15</t>
  </si>
  <si>
    <t>1.09</t>
  </si>
  <si>
    <t>1.32</t>
  </si>
  <si>
    <t>0.899</t>
  </si>
  <si>
    <t>0.835</t>
  </si>
  <si>
    <t>0.744</t>
  </si>
  <si>
    <t>1.31</t>
  </si>
  <si>
    <t>1.58</t>
  </si>
  <si>
    <t>1.77</t>
  </si>
  <si>
    <t>2.08</t>
  </si>
  <si>
    <t>1.35</t>
  </si>
  <si>
    <t>3.93</t>
  </si>
  <si>
    <t>3.71</t>
  </si>
  <si>
    <t>1.23</t>
  </si>
  <si>
    <t>2.74</t>
  </si>
  <si>
    <t>0.729</t>
  </si>
  <si>
    <t>3.83</t>
  </si>
  <si>
    <t>0.798</t>
  </si>
  <si>
    <t>4.07</t>
  </si>
  <si>
    <t>0.842</t>
  </si>
  <si>
    <t>0.829</t>
  </si>
  <si>
    <t>0.770</t>
  </si>
  <si>
    <t>0.975</t>
  </si>
  <si>
    <t>0.65</t>
  </si>
  <si>
    <t>0.72</t>
  </si>
  <si>
    <t>0.73</t>
  </si>
  <si>
    <t>0.59</t>
  </si>
  <si>
    <t>0.68</t>
  </si>
  <si>
    <t>0.64</t>
  </si>
  <si>
    <t>0.76</t>
  </si>
  <si>
    <t>0.69</t>
  </si>
  <si>
    <t>0.83</t>
  </si>
  <si>
    <t>0.91</t>
  </si>
  <si>
    <t>Factor</t>
  </si>
  <si>
    <t>0.726</t>
  </si>
  <si>
    <t>0.702</t>
  </si>
  <si>
    <t>0.752</t>
  </si>
  <si>
    <t>0.706</t>
  </si>
  <si>
    <t>0.646</t>
  </si>
  <si>
    <t>0.939</t>
  </si>
  <si>
    <t>2.72</t>
  </si>
  <si>
    <t>0.870</t>
  </si>
  <si>
    <t>0.834</t>
  </si>
  <si>
    <t>Median</t>
  </si>
  <si>
    <t>Online</t>
  </si>
  <si>
    <t>On-campus</t>
  </si>
  <si>
    <t>Female</t>
  </si>
  <si>
    <t>Male</t>
  </si>
  <si>
    <t>Item</t>
  </si>
  <si>
    <t>Statistic</t>
  </si>
  <si>
    <t>Science and Technology</t>
  </si>
  <si>
    <t>Education</t>
  </si>
  <si>
    <t>Business and Economics</t>
  </si>
  <si>
    <t>Social Sciences</t>
  </si>
  <si>
    <t>Life Sciences</t>
  </si>
  <si>
    <t>0.841</t>
  </si>
  <si>
    <t>0.928</t>
  </si>
  <si>
    <t>0.971</t>
  </si>
  <si>
    <t>0.924</t>
  </si>
  <si>
    <t>0.852</t>
  </si>
  <si>
    <t>2.80</t>
  </si>
  <si>
    <t>2.76</t>
  </si>
  <si>
    <t>2.47</t>
  </si>
  <si>
    <t>2.62</t>
  </si>
  <si>
    <t>2.23</t>
  </si>
  <si>
    <t>0.656</t>
  </si>
  <si>
    <t>0.875</t>
  </si>
  <si>
    <t>0.737</t>
  </si>
  <si>
    <t>0.691</t>
  </si>
  <si>
    <t>0.783</t>
  </si>
  <si>
    <t>0.537</t>
  </si>
  <si>
    <t>0.717</t>
  </si>
  <si>
    <t>0.631</t>
  </si>
  <si>
    <t>0.822</t>
  </si>
  <si>
    <t>0.485</t>
  </si>
  <si>
    <t>0.630</t>
  </si>
  <si>
    <t>0.885</t>
  </si>
  <si>
    <t>0.597</t>
  </si>
  <si>
    <t>0.694</t>
  </si>
  <si>
    <t>0.827</t>
  </si>
  <si>
    <t>0.641</t>
  </si>
  <si>
    <t>0.887</t>
  </si>
  <si>
    <t>0.655</t>
  </si>
  <si>
    <t>0.802</t>
  </si>
  <si>
    <t>NA = SD no calculable (n = 1).</t>
  </si>
  <si>
    <t>0.98</t>
  </si>
  <si>
    <t>0.92</t>
  </si>
  <si>
    <t>3.49</t>
  </si>
  <si>
    <t>0.89</t>
  </si>
  <si>
    <t>0.95</t>
  </si>
  <si>
    <t>0.97</t>
  </si>
  <si>
    <t>3.52</t>
  </si>
  <si>
    <t>2.84</t>
  </si>
  <si>
    <t>2.48</t>
  </si>
  <si>
    <t>1.49</t>
  </si>
  <si>
    <t>Mode</t>
  </si>
  <si>
    <t>0.909</t>
  </si>
  <si>
    <t>0.431</t>
  </si>
  <si>
    <t>0.584</t>
  </si>
  <si>
    <t>0.293</t>
  </si>
  <si>
    <t>0.052</t>
  </si>
  <si>
    <t>0.302</t>
  </si>
  <si>
    <t>0.119</t>
  </si>
  <si>
    <t>0.080</t>
  </si>
  <si>
    <t>0.797</t>
  </si>
  <si>
    <t>0.013</t>
  </si>
  <si>
    <t>0.728</t>
  </si>
  <si>
    <t>0.600</t>
  </si>
  <si>
    <t>0.136</t>
  </si>
  <si>
    <t>-0.027</t>
  </si>
  <si>
    <t>0.539</t>
  </si>
  <si>
    <t>-0.020</t>
  </si>
  <si>
    <t>0.650</t>
  </si>
  <si>
    <t>0.062</t>
  </si>
  <si>
    <t>0.156</t>
  </si>
  <si>
    <t>0.036</t>
  </si>
  <si>
    <t>-0.070</t>
  </si>
  <si>
    <t>0.110</t>
  </si>
  <si>
    <t>0.123</t>
  </si>
  <si>
    <t>0.005</t>
  </si>
  <si>
    <t>0.004</t>
  </si>
  <si>
    <t>0.931</t>
  </si>
  <si>
    <t>-0.072</t>
  </si>
  <si>
    <t>0.100</t>
  </si>
  <si>
    <t>0.067</t>
  </si>
  <si>
    <t>0.129</t>
  </si>
  <si>
    <t>-0.003</t>
  </si>
  <si>
    <t>-0.077</t>
  </si>
  <si>
    <t>0.093</t>
  </si>
  <si>
    <t>0.034</t>
  </si>
  <si>
    <t>0.233</t>
  </si>
  <si>
    <t>-0.063</t>
  </si>
  <si>
    <t>0.153</t>
  </si>
  <si>
    <t>0.007</t>
  </si>
  <si>
    <t>-0.036</t>
  </si>
  <si>
    <t>-0.000</t>
  </si>
  <si>
    <t>-0.001</t>
  </si>
  <si>
    <t>0.977</t>
  </si>
  <si>
    <t>-0.049</t>
  </si>
  <si>
    <t>0.262</t>
  </si>
  <si>
    <t>-0.064</t>
  </si>
  <si>
    <t>0.144</t>
  </si>
  <si>
    <t>0.038</t>
  </si>
  <si>
    <t>0.388</t>
  </si>
  <si>
    <t>0.083</t>
  </si>
  <si>
    <t>0.441</t>
  </si>
  <si>
    <t>0.014</t>
  </si>
  <si>
    <t>0.200</t>
  </si>
  <si>
    <t>0.012</t>
  </si>
  <si>
    <t>0.395</t>
  </si>
  <si>
    <t>0.006</t>
  </si>
  <si>
    <t>0.347</t>
  </si>
  <si>
    <t>0.009</t>
  </si>
  <si>
    <t>0.092</t>
  </si>
  <si>
    <t>0.353</t>
  </si>
  <si>
    <t>0.376</t>
  </si>
  <si>
    <t>0.008</t>
  </si>
  <si>
    <t>0.775</t>
  </si>
  <si>
    <t>0.002</t>
  </si>
  <si>
    <t>0.019</t>
  </si>
  <si>
    <t>0.457</t>
  </si>
  <si>
    <t>0.001</t>
  </si>
  <si>
    <t>0.182</t>
  </si>
  <si>
    <t>0.484</t>
  </si>
  <si>
    <t>0.125</t>
  </si>
  <si>
    <t>0.011</t>
  </si>
  <si>
    <t>0.026</t>
  </si>
  <si>
    <t>Field</t>
  </si>
  <si>
    <t>Age rho</t>
  </si>
  <si>
    <t>Quintile rho</t>
  </si>
  <si>
    <t>Semester rho</t>
  </si>
  <si>
    <t>Employment chi2</t>
  </si>
  <si>
    <t>Employment p_value</t>
  </si>
  <si>
    <t>Employment epsilon2</t>
  </si>
  <si>
    <t>Field chi2</t>
  </si>
  <si>
    <t>Field p_value</t>
  </si>
  <si>
    <t>Field epsilon2</t>
  </si>
  <si>
    <t>Modality</t>
  </si>
  <si>
    <t>Gender</t>
  </si>
  <si>
    <t>Gender U</t>
  </si>
  <si>
    <t>Gender RBC</t>
  </si>
  <si>
    <t>Students Mean</t>
  </si>
  <si>
    <t>Students SD</t>
  </si>
  <si>
    <t>Faculty Mean</t>
  </si>
  <si>
    <t>Faculty SD</t>
  </si>
  <si>
    <t>Mean Difference</t>
  </si>
  <si>
    <t>U</t>
  </si>
  <si>
    <t>p-value</t>
  </si>
  <si>
    <t>RBC</t>
  </si>
  <si>
    <t>0.703</t>
  </si>
  <si>
    <t>0.513</t>
  </si>
  <si>
    <t>-0.042</t>
  </si>
  <si>
    <t>10957.0</t>
  </si>
  <si>
    <t>0.487</t>
  </si>
  <si>
    <t>0.709</t>
  </si>
  <si>
    <t>0.699</t>
  </si>
  <si>
    <t>0.401</t>
  </si>
  <si>
    <t>15282.5</t>
  </si>
  <si>
    <t>0.001**</t>
  </si>
  <si>
    <t>0.309</t>
  </si>
  <si>
    <t>0.652</t>
  </si>
  <si>
    <t>0.166</t>
  </si>
  <si>
    <t>13805.0</t>
  </si>
  <si>
    <t>0.041*</t>
  </si>
  <si>
    <t>0.724</t>
  </si>
  <si>
    <t>0.095</t>
  </si>
  <si>
    <t>11873.0</t>
  </si>
  <si>
    <t>0.849</t>
  </si>
  <si>
    <t>0.017</t>
  </si>
  <si>
    <t>0.787</t>
  </si>
  <si>
    <t>0.478</t>
  </si>
  <si>
    <t>15982.5</t>
  </si>
  <si>
    <t>0.000**</t>
  </si>
  <si>
    <t>0.369</t>
  </si>
  <si>
    <t>0.847</t>
  </si>
  <si>
    <t>0.964</t>
  </si>
  <si>
    <t>0.791</t>
  </si>
  <si>
    <t>17204.0</t>
  </si>
  <si>
    <t>0.473</t>
  </si>
  <si>
    <t>Mann–Whitney U test results between students and faculty by factor</t>
  </si>
  <si>
    <t>Age Rho</t>
  </si>
  <si>
    <t>Age p-value</t>
  </si>
  <si>
    <t>-0.109</t>
  </si>
  <si>
    <t>0.013*</t>
  </si>
  <si>
    <t>-0.074</t>
  </si>
  <si>
    <t>0.090</t>
  </si>
  <si>
    <t>-0.124</t>
  </si>
  <si>
    <t>0.005**</t>
  </si>
  <si>
    <t>-0.117</t>
  </si>
  <si>
    <t>0.008**</t>
  </si>
  <si>
    <t>-0.105</t>
  </si>
  <si>
    <t>0.017*</t>
  </si>
  <si>
    <t>-0.043</t>
  </si>
  <si>
    <t>0.323</t>
  </si>
  <si>
    <t>-0.052</t>
  </si>
  <si>
    <t>0.234</t>
  </si>
  <si>
    <t>-0.102</t>
  </si>
  <si>
    <t>0.020*</t>
  </si>
  <si>
    <t>0.150</t>
  </si>
  <si>
    <t>-0.076</t>
  </si>
  <si>
    <t>-0.097</t>
  </si>
  <si>
    <t>0.028*</t>
  </si>
  <si>
    <t>Semester Rho</t>
  </si>
  <si>
    <t>Semester p-value</t>
  </si>
  <si>
    <t>Spearman correlation (age and semester)</t>
  </si>
  <si>
    <t>Gender p-value</t>
  </si>
  <si>
    <t>Modality U</t>
  </si>
  <si>
    <t>Modality p-value</t>
  </si>
  <si>
    <t>Modality RBC</t>
  </si>
  <si>
    <t>0.033*</t>
  </si>
  <si>
    <t>0.132</t>
  </si>
  <si>
    <t>0.034*</t>
  </si>
  <si>
    <t>0.007**</t>
  </si>
  <si>
    <t>0.527</t>
  </si>
  <si>
    <t>0.039*</t>
  </si>
  <si>
    <t>0.676</t>
  </si>
  <si>
    <t>0.063</t>
  </si>
  <si>
    <t>0.443</t>
  </si>
  <si>
    <t>0.072</t>
  </si>
  <si>
    <t>Mann–Whitney U test results by gender and study modality</t>
  </si>
  <si>
    <t>Degree p-value</t>
  </si>
  <si>
    <t>Degree Epsilon2</t>
  </si>
  <si>
    <t>0.019*</t>
  </si>
  <si>
    <t>0.170</t>
  </si>
  <si>
    <t>0.003</t>
  </si>
  <si>
    <t>0.006**</t>
  </si>
  <si>
    <t>0.103</t>
  </si>
  <si>
    <t>0.016</t>
  </si>
  <si>
    <t>0.474</t>
  </si>
  <si>
    <t>0.002**</t>
  </si>
  <si>
    <t>0.112</t>
  </si>
  <si>
    <t>0.047*</t>
  </si>
  <si>
    <t>0.021*</t>
  </si>
  <si>
    <t>0.022*</t>
  </si>
  <si>
    <t>0.022</t>
  </si>
  <si>
    <t>0.470</t>
  </si>
  <si>
    <t>0.018*</t>
  </si>
  <si>
    <t>0.094</t>
  </si>
  <si>
    <t>0.121</t>
  </si>
  <si>
    <t>0.305</t>
  </si>
  <si>
    <t>0.076</t>
  </si>
  <si>
    <t>0.232</t>
  </si>
  <si>
    <t>0.609</t>
  </si>
  <si>
    <t>Degree Chi2</t>
  </si>
  <si>
    <t>Employment  Chi2</t>
  </si>
  <si>
    <t>Employment p-value</t>
  </si>
  <si>
    <t>Employment Epsilon2</t>
  </si>
  <si>
    <t>0.297</t>
  </si>
  <si>
    <t>0.295</t>
  </si>
  <si>
    <t>0.204</t>
  </si>
  <si>
    <t>0.258</t>
  </si>
  <si>
    <t>0.291</t>
  </si>
  <si>
    <t>0.148</t>
  </si>
  <si>
    <t>0.282</t>
  </si>
  <si>
    <t>0.245</t>
  </si>
  <si>
    <t>0.246</t>
  </si>
  <si>
    <t>0.231</t>
  </si>
  <si>
    <t>0.243</t>
  </si>
  <si>
    <t>0.316</t>
  </si>
  <si>
    <t>0.174</t>
  </si>
  <si>
    <t>0.307</t>
  </si>
  <si>
    <t>0.306</t>
  </si>
  <si>
    <t>0.261</t>
  </si>
  <si>
    <t>0.264</t>
  </si>
  <si>
    <t>0.272</t>
  </si>
  <si>
    <t>0.269</t>
  </si>
  <si>
    <t>0.260</t>
  </si>
  <si>
    <t>0.190</t>
  </si>
  <si>
    <t>0.259</t>
  </si>
  <si>
    <t>0.285</t>
  </si>
  <si>
    <t>0.168</t>
  </si>
  <si>
    <t>0.216</t>
  </si>
  <si>
    <t>0.235</t>
  </si>
  <si>
    <t>0.187</t>
  </si>
  <si>
    <t>0.154</t>
  </si>
  <si>
    <t>0.201</t>
  </si>
  <si>
    <t>0.207</t>
  </si>
  <si>
    <t>0.142</t>
  </si>
  <si>
    <t>0.211</t>
  </si>
  <si>
    <t>0.236</t>
  </si>
  <si>
    <t>0.244</t>
  </si>
  <si>
    <t>Spearman correlation between perception factors and frequency</t>
  </si>
  <si>
    <t>Q01</t>
  </si>
  <si>
    <t>0.685</t>
  </si>
  <si>
    <t>17418.0</t>
  </si>
  <si>
    <t>Q02</t>
  </si>
  <si>
    <t>0.868</t>
  </si>
  <si>
    <t>0.191</t>
  </si>
  <si>
    <t>14538.5</t>
  </si>
  <si>
    <t>0.135</t>
  </si>
  <si>
    <t>Q03</t>
  </si>
  <si>
    <t>0.972</t>
  </si>
  <si>
    <t>-0.095</t>
  </si>
  <si>
    <t>11797.0</t>
  </si>
  <si>
    <t>Q04</t>
  </si>
  <si>
    <t>0.912</t>
  </si>
  <si>
    <t>-0.021</t>
  </si>
  <si>
    <t>13063.0</t>
  </si>
  <si>
    <t>0.933</t>
  </si>
  <si>
    <t>Q05</t>
  </si>
  <si>
    <t>0.839</t>
  </si>
  <si>
    <t>14231.0</t>
  </si>
  <si>
    <t>0.217</t>
  </si>
  <si>
    <t>Q06</t>
  </si>
  <si>
    <t>0.934</t>
  </si>
  <si>
    <t>0.047</t>
  </si>
  <si>
    <t>13087.5</t>
  </si>
  <si>
    <t>0.913</t>
  </si>
  <si>
    <t>Q08</t>
  </si>
  <si>
    <t>0.459</t>
  </si>
  <si>
    <t>16016.5</t>
  </si>
  <si>
    <t>0.004**</t>
  </si>
  <si>
    <t>Q09</t>
  </si>
  <si>
    <t>0.943</t>
  </si>
  <si>
    <t>14057.0</t>
  </si>
  <si>
    <t>Q11</t>
  </si>
  <si>
    <t>0.872</t>
  </si>
  <si>
    <t>14607.0</t>
  </si>
  <si>
    <t>0.114</t>
  </si>
  <si>
    <t>Q12</t>
  </si>
  <si>
    <t>0.937</t>
  </si>
  <si>
    <t>15394.0</t>
  </si>
  <si>
    <t>0.186</t>
  </si>
  <si>
    <t>Q13</t>
  </si>
  <si>
    <t>0.910</t>
  </si>
  <si>
    <t>0.804</t>
  </si>
  <si>
    <t>18423.5</t>
  </si>
  <si>
    <t>Q14</t>
  </si>
  <si>
    <t>0.779</t>
  </si>
  <si>
    <t>18485.5</t>
  </si>
  <si>
    <t>Q15</t>
  </si>
  <si>
    <t>0.508</t>
  </si>
  <si>
    <t>16900.5</t>
  </si>
  <si>
    <t>Q16</t>
  </si>
  <si>
    <t>0.948</t>
  </si>
  <si>
    <t>0.636</t>
  </si>
  <si>
    <t>17037.5</t>
  </si>
  <si>
    <t>Q17</t>
  </si>
  <si>
    <t>0.999</t>
  </si>
  <si>
    <t>0.343</t>
  </si>
  <si>
    <t>15136.5</t>
  </si>
  <si>
    <t>Q19</t>
  </si>
  <si>
    <t>0.982</t>
  </si>
  <si>
    <t>12806.0</t>
  </si>
  <si>
    <t>0.873</t>
  </si>
  <si>
    <t>Q20</t>
  </si>
  <si>
    <t>-0.266</t>
  </si>
  <si>
    <t>10757.0</t>
  </si>
  <si>
    <t>Q21</t>
  </si>
  <si>
    <t>0.164</t>
  </si>
  <si>
    <t>13875.5</t>
  </si>
  <si>
    <t>0.381</t>
  </si>
  <si>
    <t>Q22</t>
  </si>
  <si>
    <t>0.944</t>
  </si>
  <si>
    <t>0.241</t>
  </si>
  <si>
    <t>14344.5</t>
  </si>
  <si>
    <t>0.189</t>
  </si>
  <si>
    <t>Q23</t>
  </si>
  <si>
    <t>13073.0</t>
  </si>
  <si>
    <t>Q24</t>
  </si>
  <si>
    <t>0.918</t>
  </si>
  <si>
    <t>-0.430</t>
  </si>
  <si>
    <t>9804.0</t>
  </si>
  <si>
    <t>Q25</t>
  </si>
  <si>
    <t>0.856</t>
  </si>
  <si>
    <t>0.184</t>
  </si>
  <si>
    <t>13176.0</t>
  </si>
  <si>
    <t>0.846</t>
  </si>
  <si>
    <t>Q26</t>
  </si>
  <si>
    <t>0.222</t>
  </si>
  <si>
    <t>14358.0</t>
  </si>
  <si>
    <t>Q27</t>
  </si>
  <si>
    <t>0.889</t>
  </si>
  <si>
    <t>-0.086</t>
  </si>
  <si>
    <t>12040.0</t>
  </si>
  <si>
    <t>0.363</t>
  </si>
  <si>
    <t>Q28</t>
  </si>
  <si>
    <t>0.060</t>
  </si>
  <si>
    <t>13355.0</t>
  </si>
  <si>
    <t>Q29</t>
  </si>
  <si>
    <t>0.962</t>
  </si>
  <si>
    <t>0.973</t>
  </si>
  <si>
    <t>0.755</t>
  </si>
  <si>
    <t>18449.5</t>
  </si>
  <si>
    <t>Q30</t>
  </si>
  <si>
    <t>0.550</t>
  </si>
  <si>
    <t>17291.0</t>
  </si>
  <si>
    <t>Q31</t>
  </si>
  <si>
    <t>13597.5</t>
  </si>
  <si>
    <t>0.543</t>
  </si>
  <si>
    <t>Mann–Whitney U test results between students and faculty by item</t>
  </si>
  <si>
    <t>Quintile p-value</t>
  </si>
  <si>
    <t>Spearman correlation (age, quintile, and semester)</t>
  </si>
  <si>
    <t>Kruskal–Wallis results by degree program, field of knowledge, and employment status</t>
  </si>
  <si>
    <t>Kruskal–Wallis results by employment status, degree program, and  field of knowledge</t>
  </si>
  <si>
    <t>Descriptive statistics (frequency items)</t>
  </si>
  <si>
    <t>&lt;0.001**</t>
  </si>
  <si>
    <t>0.014*</t>
  </si>
  <si>
    <t>0.030*</t>
  </si>
  <si>
    <t>0.026*</t>
  </si>
  <si>
    <t>0.048*</t>
  </si>
  <si>
    <t>-0.055</t>
  </si>
  <si>
    <t>0.102</t>
  </si>
  <si>
    <t>-0.083</t>
  </si>
  <si>
    <t>-0.057</t>
  </si>
  <si>
    <t>0.196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</si>
</sst>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333333"/>
      <name val="Calibri"/>
      <family val="2"/>
    </font>
    <font>
      <sz val="10"/>
      <color rgb="FF333333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Font="1"/>
    <xf numFmtId="0" fontId="2" fillId="0" borderId="1" xfId="0" applyFont="1" applyBorder="1" applyAlignment="1">
      <alignment horizontal="justify" vertical="center" wrapTex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justify" vertical="center"/>
    </xf>
    <xf numFmtId="0" fontId="3" fillId="0" borderId="8" xfId="0" applyFont="1" applyBorder="1" applyAlignment="1">
      <alignment horizontal="justify" vertical="center"/>
    </xf>
    <xf numFmtId="0" fontId="3" fillId="0" borderId="9" xfId="0" applyFont="1" applyBorder="1" applyAlignment="1">
      <alignment horizontal="justify" vertical="center"/>
    </xf>
    <xf numFmtId="0" fontId="3" fillId="0" borderId="10" xfId="0" applyFont="1" applyBorder="1" applyAlignment="1">
      <alignment horizontal="justify" vertical="center"/>
    </xf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0" xfId="0" applyBorder="1"/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3" fontId="0" fillId="0" borderId="0" xfId="0" applyNumberFormat="1"/>
    <xf numFmtId="0" fontId="0" fillId="0" borderId="0" xfId="0" applyAlignment="1">
      <alignment horizontal="left" vertical="center" wrapText="1"/>
    </xf>
    <xf numFmtId="0" fontId="1" fillId="0" borderId="11" xfId="0" applyFont="1" applyBorder="1"/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1" xfId="0" applyFont="1" applyBorder="1" applyAlignment="1">
      <alignment vertical="center"/>
    </xf>
    <xf numFmtId="0" fontId="1" fillId="0" borderId="11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2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2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3" fontId="0" fillId="0" borderId="1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3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12" xfId="0" applyFont="1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/>
    </xf>
    <xf numFmtId="164" fontId="0" fillId="0" borderId="0" xfId="0" applyNumberFormat="1" applyAlignment="1">
      <alignment vertical="center" wrapText="1"/>
    </xf>
    <xf numFmtId="164" fontId="0" fillId="0" borderId="12" xfId="0" applyNumberFormat="1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164" fontId="0" fillId="0" borderId="1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/>
    </xf>
    <xf numFmtId="0" fontId="3" fillId="0" borderId="5" xfId="0" applyFont="1" applyBorder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3" fillId="0" borderId="2" xfId="0" applyFont="1" applyBorder="1" applyAlignment="1">
      <alignment horizontal="justify" vertical="center"/>
    </xf>
    <xf numFmtId="0" fontId="3" fillId="0" borderId="3" xfId="0" applyFont="1" applyBorder="1" applyAlignment="1">
      <alignment horizontal="justify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177AA-DD5A-433C-8BDF-3A5414928D8F}">
  <dimension ref="A1:P65"/>
  <sheetViews>
    <sheetView tabSelected="1" workbookViewId="0">
      <selection activeCell="T7" sqref="T7"/>
    </sheetView>
  </sheetViews>
  <sheetFormatPr defaultRowHeight="14.25" x14ac:dyDescent="0.45"/>
  <cols>
    <col min="1" max="1" width="14.265625" style="1" customWidth="1"/>
    <col min="2" max="2" width="6.265625" style="1" customWidth="1"/>
    <col min="3" max="3" width="8.53125" style="1" customWidth="1"/>
    <col min="4" max="4" width="5.9296875" style="10" customWidth="1"/>
    <col min="5" max="5" width="6.46484375" style="10" customWidth="1"/>
    <col min="6" max="6" width="6.796875" style="10" customWidth="1"/>
    <col min="7" max="7" width="6.6640625" style="10" customWidth="1"/>
    <col min="8" max="8" width="6.46484375" style="10" customWidth="1"/>
    <col min="9" max="9" width="6.3984375" style="10" customWidth="1"/>
    <col min="10" max="10" width="6.86328125" style="10" customWidth="1"/>
    <col min="11" max="11" width="6.73046875" style="10" customWidth="1"/>
    <col min="12" max="12" width="6.59765625" style="10" customWidth="1"/>
    <col min="13" max="13" width="6.9296875" style="10" customWidth="1"/>
    <col min="14" max="14" width="7" style="10" customWidth="1"/>
    <col min="15" max="15" width="6.59765625" style="10" customWidth="1"/>
    <col min="16" max="16" width="6.1328125" style="10" customWidth="1"/>
  </cols>
  <sheetData>
    <row r="1" spans="1:16" ht="34.15" customHeight="1" thickBot="1" x14ac:dyDescent="0.5">
      <c r="A1" s="2" t="s">
        <v>244</v>
      </c>
      <c r="B1" s="16" t="s">
        <v>0</v>
      </c>
      <c r="C1" s="36" t="s">
        <v>15</v>
      </c>
      <c r="D1" s="4" t="s">
        <v>276</v>
      </c>
      <c r="E1" s="4" t="s">
        <v>277</v>
      </c>
      <c r="F1" s="4" t="s">
        <v>278</v>
      </c>
      <c r="G1" s="4" t="s">
        <v>279</v>
      </c>
      <c r="H1" s="4" t="s">
        <v>280</v>
      </c>
      <c r="I1" s="4" t="s">
        <v>281</v>
      </c>
      <c r="J1" s="31" t="s">
        <v>282</v>
      </c>
      <c r="K1" s="5" t="s">
        <v>16</v>
      </c>
      <c r="L1" s="5" t="s">
        <v>17</v>
      </c>
      <c r="M1" s="5" t="s">
        <v>18</v>
      </c>
      <c r="N1" s="5" t="s">
        <v>19</v>
      </c>
      <c r="O1" s="5" t="s">
        <v>20</v>
      </c>
      <c r="P1" s="5" t="s">
        <v>21</v>
      </c>
    </row>
    <row r="2" spans="1:16" x14ac:dyDescent="0.45">
      <c r="A2" s="108" t="s">
        <v>245</v>
      </c>
      <c r="B2" s="103">
        <v>31</v>
      </c>
      <c r="C2" s="37" t="s">
        <v>22</v>
      </c>
      <c r="D2" s="6" t="s">
        <v>160</v>
      </c>
      <c r="E2" s="6" t="s">
        <v>178</v>
      </c>
      <c r="F2" s="6" t="s">
        <v>54</v>
      </c>
      <c r="G2" s="6" t="s">
        <v>82</v>
      </c>
      <c r="H2" s="6" t="s">
        <v>283</v>
      </c>
      <c r="I2" s="6" t="s">
        <v>284</v>
      </c>
      <c r="J2" s="32" t="s">
        <v>285</v>
      </c>
      <c r="K2" s="7" t="s">
        <v>5</v>
      </c>
      <c r="L2" s="7" t="s">
        <v>23</v>
      </c>
      <c r="M2" s="7" t="s">
        <v>3</v>
      </c>
      <c r="N2" s="7" t="s">
        <v>24</v>
      </c>
      <c r="O2" s="7" t="s">
        <v>25</v>
      </c>
      <c r="P2" s="7" t="s">
        <v>8</v>
      </c>
    </row>
    <row r="3" spans="1:16" x14ac:dyDescent="0.45">
      <c r="A3" s="106"/>
      <c r="B3" s="101"/>
      <c r="C3" s="37" t="s">
        <v>26</v>
      </c>
      <c r="D3" s="6" t="s">
        <v>122</v>
      </c>
      <c r="E3" s="6" t="s">
        <v>172</v>
      </c>
      <c r="F3" s="6" t="s">
        <v>64</v>
      </c>
      <c r="G3" s="6" t="s">
        <v>204</v>
      </c>
      <c r="H3" s="6" t="s">
        <v>286</v>
      </c>
      <c r="I3" s="6" t="s">
        <v>13</v>
      </c>
      <c r="J3" s="32" t="s">
        <v>13</v>
      </c>
      <c r="K3" s="7" t="s">
        <v>27</v>
      </c>
      <c r="L3" s="7" t="s">
        <v>29</v>
      </c>
      <c r="M3" s="7" t="s">
        <v>28</v>
      </c>
      <c r="N3" s="7" t="s">
        <v>30</v>
      </c>
      <c r="O3" s="7" t="s">
        <v>31</v>
      </c>
      <c r="P3" s="7" t="s">
        <v>32</v>
      </c>
    </row>
    <row r="4" spans="1:16" x14ac:dyDescent="0.45">
      <c r="A4" s="104" t="s">
        <v>246</v>
      </c>
      <c r="B4" s="99">
        <v>4</v>
      </c>
      <c r="C4" s="38" t="s">
        <v>22</v>
      </c>
      <c r="D4" s="11" t="s">
        <v>287</v>
      </c>
      <c r="E4" s="11" t="s">
        <v>10</v>
      </c>
      <c r="F4" s="11" t="s">
        <v>114</v>
      </c>
      <c r="G4" s="11" t="s">
        <v>287</v>
      </c>
      <c r="H4" s="11" t="s">
        <v>114</v>
      </c>
      <c r="I4" s="11" t="s">
        <v>114</v>
      </c>
      <c r="J4" s="33" t="s">
        <v>288</v>
      </c>
      <c r="K4" s="12" t="s">
        <v>33</v>
      </c>
      <c r="L4" s="12" t="s">
        <v>35</v>
      </c>
      <c r="M4" s="12" t="s">
        <v>34</v>
      </c>
      <c r="N4" s="12" t="s">
        <v>36</v>
      </c>
      <c r="O4" s="12" t="s">
        <v>37</v>
      </c>
      <c r="P4" s="12" t="s">
        <v>10</v>
      </c>
    </row>
    <row r="5" spans="1:16" x14ac:dyDescent="0.45">
      <c r="A5" s="105"/>
      <c r="B5" s="100"/>
      <c r="C5" s="39" t="s">
        <v>26</v>
      </c>
      <c r="D5" s="13" t="s">
        <v>73</v>
      </c>
      <c r="E5" s="13" t="s">
        <v>72</v>
      </c>
      <c r="F5" s="13" t="s">
        <v>95</v>
      </c>
      <c r="G5" s="13" t="s">
        <v>73</v>
      </c>
      <c r="H5" s="13" t="s">
        <v>95</v>
      </c>
      <c r="I5" s="13" t="s">
        <v>95</v>
      </c>
      <c r="J5" s="34" t="s">
        <v>114</v>
      </c>
      <c r="K5" s="14" t="s">
        <v>38</v>
      </c>
      <c r="L5" s="14" t="s">
        <v>40</v>
      </c>
      <c r="M5" s="14" t="s">
        <v>39</v>
      </c>
      <c r="N5" s="14" t="s">
        <v>41</v>
      </c>
      <c r="O5" s="14" t="s">
        <v>42</v>
      </c>
      <c r="P5" s="14" t="s">
        <v>43</v>
      </c>
    </row>
    <row r="6" spans="1:16" x14ac:dyDescent="0.45">
      <c r="A6" s="106" t="s">
        <v>247</v>
      </c>
      <c r="B6" s="101">
        <v>14</v>
      </c>
      <c r="C6" s="37" t="s">
        <v>22</v>
      </c>
      <c r="D6" s="6" t="s">
        <v>289</v>
      </c>
      <c r="E6" s="6" t="s">
        <v>289</v>
      </c>
      <c r="F6" s="6" t="s">
        <v>289</v>
      </c>
      <c r="G6" s="6" t="s">
        <v>57</v>
      </c>
      <c r="H6" s="6" t="s">
        <v>77</v>
      </c>
      <c r="I6" s="6" t="s">
        <v>290</v>
      </c>
      <c r="J6" s="32" t="s">
        <v>291</v>
      </c>
      <c r="K6" s="7" t="s">
        <v>44</v>
      </c>
      <c r="L6" s="7" t="s">
        <v>46</v>
      </c>
      <c r="M6" s="7" t="s">
        <v>45</v>
      </c>
      <c r="N6" s="7" t="s">
        <v>47</v>
      </c>
      <c r="O6" s="7" t="s">
        <v>48</v>
      </c>
      <c r="P6" s="7" t="s">
        <v>44</v>
      </c>
    </row>
    <row r="7" spans="1:16" x14ac:dyDescent="0.45">
      <c r="A7" s="106"/>
      <c r="B7" s="101"/>
      <c r="C7" s="37" t="s">
        <v>26</v>
      </c>
      <c r="D7" s="6" t="s">
        <v>211</v>
      </c>
      <c r="E7" s="6" t="s">
        <v>292</v>
      </c>
      <c r="F7" s="6" t="s">
        <v>293</v>
      </c>
      <c r="G7" s="6" t="s">
        <v>294</v>
      </c>
      <c r="H7" s="6" t="s">
        <v>120</v>
      </c>
      <c r="I7" s="6" t="s">
        <v>294</v>
      </c>
      <c r="J7" s="32" t="s">
        <v>295</v>
      </c>
      <c r="K7" s="7" t="s">
        <v>49</v>
      </c>
      <c r="L7" s="7" t="s">
        <v>51</v>
      </c>
      <c r="M7" s="7" t="s">
        <v>50</v>
      </c>
      <c r="N7" s="7" t="s">
        <v>52</v>
      </c>
      <c r="O7" s="7" t="s">
        <v>52</v>
      </c>
      <c r="P7" s="7" t="s">
        <v>53</v>
      </c>
    </row>
    <row r="8" spans="1:16" x14ac:dyDescent="0.45">
      <c r="A8" s="104" t="s">
        <v>248</v>
      </c>
      <c r="B8" s="99">
        <v>29</v>
      </c>
      <c r="C8" s="38" t="s">
        <v>22</v>
      </c>
      <c r="D8" s="11" t="s">
        <v>166</v>
      </c>
      <c r="E8" s="11" t="s">
        <v>296</v>
      </c>
      <c r="F8" s="11" t="s">
        <v>65</v>
      </c>
      <c r="G8" s="11" t="s">
        <v>297</v>
      </c>
      <c r="H8" s="11" t="s">
        <v>298</v>
      </c>
      <c r="I8" s="11" t="s">
        <v>299</v>
      </c>
      <c r="J8" s="33" t="s">
        <v>300</v>
      </c>
      <c r="K8" s="12" t="s">
        <v>54</v>
      </c>
      <c r="L8" s="12" t="s">
        <v>55</v>
      </c>
      <c r="M8" s="12" t="s">
        <v>1</v>
      </c>
      <c r="N8" s="12" t="s">
        <v>56</v>
      </c>
      <c r="O8" s="12" t="s">
        <v>57</v>
      </c>
      <c r="P8" s="12" t="s">
        <v>58</v>
      </c>
    </row>
    <row r="9" spans="1:16" x14ac:dyDescent="0.45">
      <c r="A9" s="105"/>
      <c r="B9" s="100"/>
      <c r="C9" s="39" t="s">
        <v>26</v>
      </c>
      <c r="D9" s="13" t="s">
        <v>176</v>
      </c>
      <c r="E9" s="13" t="s">
        <v>301</v>
      </c>
      <c r="F9" s="13" t="s">
        <v>302</v>
      </c>
      <c r="G9" s="13" t="s">
        <v>294</v>
      </c>
      <c r="H9" s="13" t="s">
        <v>303</v>
      </c>
      <c r="I9" s="13" t="s">
        <v>43</v>
      </c>
      <c r="J9" s="34" t="s">
        <v>304</v>
      </c>
      <c r="K9" s="14" t="s">
        <v>59</v>
      </c>
      <c r="L9" s="14" t="s">
        <v>61</v>
      </c>
      <c r="M9" s="14" t="s">
        <v>60</v>
      </c>
      <c r="N9" s="14" t="s">
        <v>62</v>
      </c>
      <c r="O9" s="14" t="s">
        <v>63</v>
      </c>
      <c r="P9" s="14" t="s">
        <v>64</v>
      </c>
    </row>
    <row r="10" spans="1:16" x14ac:dyDescent="0.45">
      <c r="A10" s="106" t="s">
        <v>249</v>
      </c>
      <c r="B10" s="101">
        <v>4</v>
      </c>
      <c r="C10" s="37" t="s">
        <v>22</v>
      </c>
      <c r="D10" s="6" t="s">
        <v>305</v>
      </c>
      <c r="E10" s="6" t="s">
        <v>225</v>
      </c>
      <c r="F10" s="6" t="s">
        <v>305</v>
      </c>
      <c r="G10" s="6" t="s">
        <v>305</v>
      </c>
      <c r="H10" s="6" t="s">
        <v>8</v>
      </c>
      <c r="I10" s="6" t="s">
        <v>76</v>
      </c>
      <c r="J10" s="32" t="s">
        <v>90</v>
      </c>
      <c r="K10" s="7" t="s">
        <v>65</v>
      </c>
      <c r="L10" s="7" t="s">
        <v>67</v>
      </c>
      <c r="M10" s="7" t="s">
        <v>66</v>
      </c>
      <c r="N10" s="7" t="s">
        <v>68</v>
      </c>
      <c r="O10" s="7" t="s">
        <v>8</v>
      </c>
      <c r="P10" s="7" t="s">
        <v>24</v>
      </c>
    </row>
    <row r="11" spans="1:16" x14ac:dyDescent="0.45">
      <c r="A11" s="106"/>
      <c r="B11" s="101"/>
      <c r="C11" s="37" t="s">
        <v>26</v>
      </c>
      <c r="D11" s="6" t="s">
        <v>182</v>
      </c>
      <c r="E11" s="6" t="s">
        <v>306</v>
      </c>
      <c r="F11" s="6" t="s">
        <v>182</v>
      </c>
      <c r="G11" s="6" t="s">
        <v>288</v>
      </c>
      <c r="H11" s="6" t="s">
        <v>95</v>
      </c>
      <c r="I11" s="6" t="s">
        <v>288</v>
      </c>
      <c r="J11" s="32" t="s">
        <v>307</v>
      </c>
      <c r="K11" s="7" t="s">
        <v>69</v>
      </c>
      <c r="L11" s="7" t="s">
        <v>71</v>
      </c>
      <c r="M11" s="7" t="s">
        <v>70</v>
      </c>
      <c r="N11" s="7" t="s">
        <v>52</v>
      </c>
      <c r="O11" s="7" t="s">
        <v>72</v>
      </c>
      <c r="P11" s="7" t="s">
        <v>73</v>
      </c>
    </row>
    <row r="12" spans="1:16" x14ac:dyDescent="0.45">
      <c r="A12" s="104" t="s">
        <v>250</v>
      </c>
      <c r="B12" s="99">
        <v>4</v>
      </c>
      <c r="C12" s="38" t="s">
        <v>22</v>
      </c>
      <c r="D12" s="11" t="s">
        <v>24</v>
      </c>
      <c r="E12" s="11" t="s">
        <v>308</v>
      </c>
      <c r="F12" s="11" t="s">
        <v>305</v>
      </c>
      <c r="G12" s="11" t="s">
        <v>9</v>
      </c>
      <c r="H12" s="11" t="s">
        <v>8</v>
      </c>
      <c r="I12" s="11" t="s">
        <v>230</v>
      </c>
      <c r="J12" s="33" t="s">
        <v>90</v>
      </c>
      <c r="K12" s="12" t="s">
        <v>24</v>
      </c>
      <c r="L12" s="12" t="s">
        <v>75</v>
      </c>
      <c r="M12" s="12" t="s">
        <v>74</v>
      </c>
      <c r="N12" s="12" t="s">
        <v>8</v>
      </c>
      <c r="O12" s="12" t="s">
        <v>76</v>
      </c>
      <c r="P12" s="12" t="s">
        <v>77</v>
      </c>
    </row>
    <row r="13" spans="1:16" x14ac:dyDescent="0.45">
      <c r="A13" s="105"/>
      <c r="B13" s="100"/>
      <c r="C13" s="39" t="s">
        <v>26</v>
      </c>
      <c r="D13" s="13" t="s">
        <v>73</v>
      </c>
      <c r="E13" s="13" t="s">
        <v>73</v>
      </c>
      <c r="F13" s="13" t="s">
        <v>309</v>
      </c>
      <c r="G13" s="13" t="s">
        <v>95</v>
      </c>
      <c r="H13" s="13" t="s">
        <v>43</v>
      </c>
      <c r="I13" s="13" t="s">
        <v>288</v>
      </c>
      <c r="J13" s="34" t="s">
        <v>306</v>
      </c>
      <c r="K13" s="14" t="s">
        <v>78</v>
      </c>
      <c r="L13" s="14" t="s">
        <v>79</v>
      </c>
      <c r="M13" s="14" t="s">
        <v>73</v>
      </c>
      <c r="N13" s="14" t="s">
        <v>80</v>
      </c>
      <c r="O13" s="14" t="s">
        <v>73</v>
      </c>
      <c r="P13" s="14" t="s">
        <v>81</v>
      </c>
    </row>
    <row r="14" spans="1:16" x14ac:dyDescent="0.45">
      <c r="A14" s="106" t="s">
        <v>251</v>
      </c>
      <c r="B14" s="101">
        <v>51</v>
      </c>
      <c r="C14" s="37" t="s">
        <v>22</v>
      </c>
      <c r="D14" s="6" t="s">
        <v>154</v>
      </c>
      <c r="E14" s="6" t="s">
        <v>310</v>
      </c>
      <c r="F14" s="6" t="s">
        <v>98</v>
      </c>
      <c r="G14" s="6" t="s">
        <v>311</v>
      </c>
      <c r="H14" s="6" t="s">
        <v>157</v>
      </c>
      <c r="I14" s="6" t="s">
        <v>6</v>
      </c>
      <c r="J14" s="32" t="s">
        <v>66</v>
      </c>
      <c r="K14" s="7" t="s">
        <v>82</v>
      </c>
      <c r="L14" s="7" t="s">
        <v>83</v>
      </c>
      <c r="M14" s="7" t="s">
        <v>24</v>
      </c>
      <c r="N14" s="7" t="s">
        <v>54</v>
      </c>
      <c r="O14" s="7" t="s">
        <v>8</v>
      </c>
      <c r="P14" s="7" t="s">
        <v>24</v>
      </c>
    </row>
    <row r="15" spans="1:16" x14ac:dyDescent="0.45">
      <c r="A15" s="106"/>
      <c r="B15" s="101"/>
      <c r="C15" s="37" t="s">
        <v>26</v>
      </c>
      <c r="D15" s="6" t="s">
        <v>312</v>
      </c>
      <c r="E15" s="6" t="s">
        <v>313</v>
      </c>
      <c r="F15" s="6" t="s">
        <v>314</v>
      </c>
      <c r="G15" s="6" t="s">
        <v>38</v>
      </c>
      <c r="H15" s="6" t="s">
        <v>110</v>
      </c>
      <c r="I15" s="6" t="s">
        <v>315</v>
      </c>
      <c r="J15" s="32" t="s">
        <v>161</v>
      </c>
      <c r="K15" s="7" t="s">
        <v>84</v>
      </c>
      <c r="L15" s="7" t="s">
        <v>86</v>
      </c>
      <c r="M15" s="7" t="s">
        <v>85</v>
      </c>
      <c r="N15" s="7" t="s">
        <v>87</v>
      </c>
      <c r="O15" s="7" t="s">
        <v>88</v>
      </c>
      <c r="P15" s="7" t="s">
        <v>89</v>
      </c>
    </row>
    <row r="16" spans="1:16" x14ac:dyDescent="0.45">
      <c r="A16" s="104" t="s">
        <v>252</v>
      </c>
      <c r="B16" s="99">
        <v>2</v>
      </c>
      <c r="C16" s="38" t="s">
        <v>22</v>
      </c>
      <c r="D16" s="11" t="s">
        <v>90</v>
      </c>
      <c r="E16" s="11" t="s">
        <v>77</v>
      </c>
      <c r="F16" s="11" t="s">
        <v>77</v>
      </c>
      <c r="G16" s="11" t="s">
        <v>90</v>
      </c>
      <c r="H16" s="11" t="s">
        <v>77</v>
      </c>
      <c r="I16" s="11" t="s">
        <v>8</v>
      </c>
      <c r="J16" s="33" t="s">
        <v>288</v>
      </c>
      <c r="K16" s="12" t="s">
        <v>90</v>
      </c>
      <c r="L16" s="12" t="s">
        <v>67</v>
      </c>
      <c r="M16" s="12" t="s">
        <v>91</v>
      </c>
      <c r="N16" s="12" t="s">
        <v>8</v>
      </c>
      <c r="O16" s="12" t="s">
        <v>92</v>
      </c>
      <c r="P16" s="12" t="s">
        <v>8</v>
      </c>
    </row>
    <row r="17" spans="1:16" x14ac:dyDescent="0.45">
      <c r="A17" s="105"/>
      <c r="B17" s="100"/>
      <c r="C17" s="39" t="s">
        <v>26</v>
      </c>
      <c r="D17" s="13" t="s">
        <v>81</v>
      </c>
      <c r="E17" s="13" t="s">
        <v>81</v>
      </c>
      <c r="F17" s="13" t="s">
        <v>81</v>
      </c>
      <c r="G17" s="13" t="s">
        <v>316</v>
      </c>
      <c r="H17" s="13" t="s">
        <v>81</v>
      </c>
      <c r="I17" s="13" t="s">
        <v>317</v>
      </c>
      <c r="J17" s="34" t="s">
        <v>81</v>
      </c>
      <c r="K17" s="14" t="s">
        <v>81</v>
      </c>
      <c r="L17" s="14" t="s">
        <v>94</v>
      </c>
      <c r="M17" s="14" t="s">
        <v>93</v>
      </c>
      <c r="N17" s="14" t="s">
        <v>95</v>
      </c>
      <c r="O17" s="14" t="s">
        <v>96</v>
      </c>
      <c r="P17" s="14" t="s">
        <v>95</v>
      </c>
    </row>
    <row r="18" spans="1:16" x14ac:dyDescent="0.45">
      <c r="A18" s="106" t="s">
        <v>253</v>
      </c>
      <c r="B18" s="101">
        <v>41</v>
      </c>
      <c r="C18" s="37" t="s">
        <v>22</v>
      </c>
      <c r="D18" s="6" t="s">
        <v>311</v>
      </c>
      <c r="E18" s="6" t="s">
        <v>237</v>
      </c>
      <c r="F18" s="6" t="s">
        <v>318</v>
      </c>
      <c r="G18" s="6" t="s">
        <v>318</v>
      </c>
      <c r="H18" s="6" t="s">
        <v>148</v>
      </c>
      <c r="I18" s="6" t="s">
        <v>44</v>
      </c>
      <c r="J18" s="32" t="s">
        <v>123</v>
      </c>
      <c r="K18" s="7" t="s">
        <v>67</v>
      </c>
      <c r="L18" s="7" t="s">
        <v>97</v>
      </c>
      <c r="M18" s="7" t="s">
        <v>67</v>
      </c>
      <c r="N18" s="7" t="s">
        <v>98</v>
      </c>
      <c r="O18" s="7" t="s">
        <v>99</v>
      </c>
      <c r="P18" s="7" t="s">
        <v>100</v>
      </c>
    </row>
    <row r="19" spans="1:16" x14ac:dyDescent="0.45">
      <c r="A19" s="106"/>
      <c r="B19" s="101"/>
      <c r="C19" s="37" t="s">
        <v>26</v>
      </c>
      <c r="D19" s="6" t="s">
        <v>319</v>
      </c>
      <c r="E19" s="6" t="s">
        <v>320</v>
      </c>
      <c r="F19" s="6" t="s">
        <v>110</v>
      </c>
      <c r="G19" s="6" t="s">
        <v>12</v>
      </c>
      <c r="H19" s="6" t="s">
        <v>12</v>
      </c>
      <c r="I19" s="6" t="s">
        <v>41</v>
      </c>
      <c r="J19" s="32" t="s">
        <v>14</v>
      </c>
      <c r="K19" s="7" t="s">
        <v>101</v>
      </c>
      <c r="L19" s="7" t="s">
        <v>103</v>
      </c>
      <c r="M19" s="7" t="s">
        <v>102</v>
      </c>
      <c r="N19" s="7" t="s">
        <v>104</v>
      </c>
      <c r="O19" s="7" t="s">
        <v>105</v>
      </c>
      <c r="P19" s="7" t="s">
        <v>106</v>
      </c>
    </row>
    <row r="20" spans="1:16" x14ac:dyDescent="0.45">
      <c r="A20" s="104" t="s">
        <v>254</v>
      </c>
      <c r="B20" s="99">
        <v>14</v>
      </c>
      <c r="C20" s="38" t="s">
        <v>22</v>
      </c>
      <c r="D20" s="11" t="s">
        <v>91</v>
      </c>
      <c r="E20" s="11" t="s">
        <v>75</v>
      </c>
      <c r="F20" s="11" t="s">
        <v>91</v>
      </c>
      <c r="G20" s="11" t="s">
        <v>291</v>
      </c>
      <c r="H20" s="11" t="s">
        <v>91</v>
      </c>
      <c r="I20" s="11" t="s">
        <v>194</v>
      </c>
      <c r="J20" s="33" t="s">
        <v>289</v>
      </c>
      <c r="K20" s="12" t="s">
        <v>107</v>
      </c>
      <c r="L20" s="12" t="s">
        <v>108</v>
      </c>
      <c r="M20" s="12" t="s">
        <v>3</v>
      </c>
      <c r="N20" s="12" t="s">
        <v>54</v>
      </c>
      <c r="O20" s="12" t="s">
        <v>109</v>
      </c>
      <c r="P20" s="12" t="s">
        <v>91</v>
      </c>
    </row>
    <row r="21" spans="1:16" x14ac:dyDescent="0.45">
      <c r="A21" s="105"/>
      <c r="B21" s="100"/>
      <c r="C21" s="39" t="s">
        <v>26</v>
      </c>
      <c r="D21" s="13" t="s">
        <v>121</v>
      </c>
      <c r="E21" s="13" t="s">
        <v>321</v>
      </c>
      <c r="F21" s="13" t="s">
        <v>295</v>
      </c>
      <c r="G21" s="13" t="s">
        <v>322</v>
      </c>
      <c r="H21" s="13" t="s">
        <v>323</v>
      </c>
      <c r="I21" s="13" t="s">
        <v>324</v>
      </c>
      <c r="J21" s="34" t="s">
        <v>293</v>
      </c>
      <c r="K21" s="14" t="s">
        <v>110</v>
      </c>
      <c r="L21" s="14" t="s">
        <v>112</v>
      </c>
      <c r="M21" s="14" t="s">
        <v>111</v>
      </c>
      <c r="N21" s="14" t="s">
        <v>113</v>
      </c>
      <c r="O21" s="14" t="s">
        <v>114</v>
      </c>
      <c r="P21" s="14" t="s">
        <v>69</v>
      </c>
    </row>
    <row r="22" spans="1:16" x14ac:dyDescent="0.45">
      <c r="A22" s="106" t="s">
        <v>255</v>
      </c>
      <c r="B22" s="101">
        <v>10</v>
      </c>
      <c r="C22" s="37" t="s">
        <v>22</v>
      </c>
      <c r="D22" s="6" t="s">
        <v>25</v>
      </c>
      <c r="E22" s="6" t="s">
        <v>100</v>
      </c>
      <c r="F22" s="6" t="s">
        <v>47</v>
      </c>
      <c r="G22" s="6" t="s">
        <v>107</v>
      </c>
      <c r="H22" s="6" t="s">
        <v>8</v>
      </c>
      <c r="I22" s="6" t="s">
        <v>118</v>
      </c>
      <c r="J22" s="32" t="s">
        <v>325</v>
      </c>
      <c r="K22" s="7" t="s">
        <v>115</v>
      </c>
      <c r="L22" s="7" t="s">
        <v>115</v>
      </c>
      <c r="M22" s="7" t="s">
        <v>116</v>
      </c>
      <c r="N22" s="7" t="s">
        <v>117</v>
      </c>
      <c r="O22" s="7" t="s">
        <v>118</v>
      </c>
      <c r="P22" s="7" t="s">
        <v>119</v>
      </c>
    </row>
    <row r="23" spans="1:16" x14ac:dyDescent="0.45">
      <c r="A23" s="106"/>
      <c r="B23" s="101"/>
      <c r="C23" s="37" t="s">
        <v>26</v>
      </c>
      <c r="D23" s="6" t="s">
        <v>326</v>
      </c>
      <c r="E23" s="6" t="s">
        <v>327</v>
      </c>
      <c r="F23" s="6" t="s">
        <v>328</v>
      </c>
      <c r="G23" s="6" t="s">
        <v>293</v>
      </c>
      <c r="H23" s="6" t="s">
        <v>328</v>
      </c>
      <c r="I23" s="6" t="s">
        <v>329</v>
      </c>
      <c r="J23" s="32" t="s">
        <v>307</v>
      </c>
      <c r="K23" s="7" t="s">
        <v>120</v>
      </c>
      <c r="L23" s="7" t="s">
        <v>11</v>
      </c>
      <c r="M23" s="7" t="s">
        <v>121</v>
      </c>
      <c r="N23" s="7" t="s">
        <v>120</v>
      </c>
      <c r="O23" s="7" t="s">
        <v>122</v>
      </c>
      <c r="P23" s="7" t="s">
        <v>41</v>
      </c>
    </row>
    <row r="24" spans="1:16" x14ac:dyDescent="0.45">
      <c r="A24" s="104" t="s">
        <v>256</v>
      </c>
      <c r="B24" s="99">
        <v>11</v>
      </c>
      <c r="C24" s="38" t="s">
        <v>22</v>
      </c>
      <c r="D24" s="11" t="s">
        <v>115</v>
      </c>
      <c r="E24" s="11" t="s">
        <v>178</v>
      </c>
      <c r="F24" s="11" t="s">
        <v>179</v>
      </c>
      <c r="G24" s="11" t="s">
        <v>8</v>
      </c>
      <c r="H24" s="11" t="s">
        <v>330</v>
      </c>
      <c r="I24" s="11" t="s">
        <v>331</v>
      </c>
      <c r="J24" s="33" t="s">
        <v>115</v>
      </c>
      <c r="K24" s="12" t="s">
        <v>4</v>
      </c>
      <c r="L24" s="12" t="s">
        <v>124</v>
      </c>
      <c r="M24" s="12" t="s">
        <v>123</v>
      </c>
      <c r="N24" s="12" t="s">
        <v>125</v>
      </c>
      <c r="O24" s="12" t="s">
        <v>126</v>
      </c>
      <c r="P24" s="12" t="s">
        <v>54</v>
      </c>
    </row>
    <row r="25" spans="1:16" x14ac:dyDescent="0.45">
      <c r="A25" s="105"/>
      <c r="B25" s="100"/>
      <c r="C25" s="39" t="s">
        <v>26</v>
      </c>
      <c r="D25" s="13" t="s">
        <v>332</v>
      </c>
      <c r="E25" s="13" t="s">
        <v>38</v>
      </c>
      <c r="F25" s="13" t="s">
        <v>333</v>
      </c>
      <c r="G25" s="13" t="s">
        <v>293</v>
      </c>
      <c r="H25" s="13" t="s">
        <v>11</v>
      </c>
      <c r="I25" s="13" t="s">
        <v>295</v>
      </c>
      <c r="J25" s="34" t="s">
        <v>69</v>
      </c>
      <c r="K25" s="14" t="s">
        <v>127</v>
      </c>
      <c r="L25" s="14" t="s">
        <v>129</v>
      </c>
      <c r="M25" s="14" t="s">
        <v>128</v>
      </c>
      <c r="N25" s="14" t="s">
        <v>50</v>
      </c>
      <c r="O25" s="14" t="s">
        <v>130</v>
      </c>
      <c r="P25" s="14" t="s">
        <v>131</v>
      </c>
    </row>
    <row r="26" spans="1:16" x14ac:dyDescent="0.45">
      <c r="A26" s="106" t="s">
        <v>257</v>
      </c>
      <c r="B26" s="101">
        <v>6</v>
      </c>
      <c r="C26" s="37" t="s">
        <v>22</v>
      </c>
      <c r="D26" s="6" t="s">
        <v>334</v>
      </c>
      <c r="E26" s="6" t="s">
        <v>90</v>
      </c>
      <c r="F26" s="6" t="s">
        <v>10</v>
      </c>
      <c r="G26" s="6" t="s">
        <v>90</v>
      </c>
      <c r="H26" s="6" t="s">
        <v>90</v>
      </c>
      <c r="I26" s="6" t="s">
        <v>335</v>
      </c>
      <c r="J26" s="32" t="s">
        <v>77</v>
      </c>
      <c r="K26" s="7" t="s">
        <v>132</v>
      </c>
      <c r="L26" s="7" t="s">
        <v>67</v>
      </c>
      <c r="M26" s="7" t="s">
        <v>109</v>
      </c>
      <c r="N26" s="7" t="s">
        <v>133</v>
      </c>
      <c r="O26" s="7" t="s">
        <v>134</v>
      </c>
      <c r="P26" s="7" t="s">
        <v>135</v>
      </c>
    </row>
    <row r="27" spans="1:16" x14ac:dyDescent="0.45">
      <c r="A27" s="106"/>
      <c r="B27" s="101"/>
      <c r="C27" s="37" t="s">
        <v>26</v>
      </c>
      <c r="D27" s="6" t="s">
        <v>295</v>
      </c>
      <c r="E27" s="6" t="s">
        <v>323</v>
      </c>
      <c r="F27" s="6" t="s">
        <v>336</v>
      </c>
      <c r="G27" s="6" t="s">
        <v>337</v>
      </c>
      <c r="H27" s="6" t="s">
        <v>338</v>
      </c>
      <c r="I27" s="6" t="s">
        <v>339</v>
      </c>
      <c r="J27" s="32" t="s">
        <v>323</v>
      </c>
      <c r="K27" s="7" t="s">
        <v>136</v>
      </c>
      <c r="L27" s="7" t="s">
        <v>138</v>
      </c>
      <c r="M27" s="7" t="s">
        <v>137</v>
      </c>
      <c r="N27" s="7" t="s">
        <v>139</v>
      </c>
      <c r="O27" s="7" t="s">
        <v>84</v>
      </c>
      <c r="P27" s="7" t="s">
        <v>121</v>
      </c>
    </row>
    <row r="28" spans="1:16" x14ac:dyDescent="0.45">
      <c r="A28" s="104" t="s">
        <v>258</v>
      </c>
      <c r="B28" s="99">
        <v>11</v>
      </c>
      <c r="C28" s="38" t="s">
        <v>22</v>
      </c>
      <c r="D28" s="11" t="s">
        <v>340</v>
      </c>
      <c r="E28" s="11" t="s">
        <v>310</v>
      </c>
      <c r="F28" s="11" t="s">
        <v>341</v>
      </c>
      <c r="G28" s="11" t="s">
        <v>311</v>
      </c>
      <c r="H28" s="11" t="s">
        <v>342</v>
      </c>
      <c r="I28" s="11" t="s">
        <v>343</v>
      </c>
      <c r="J28" s="33" t="s">
        <v>340</v>
      </c>
      <c r="K28" s="12" t="s">
        <v>108</v>
      </c>
      <c r="L28" s="12" t="s">
        <v>4</v>
      </c>
      <c r="M28" s="12" t="s">
        <v>57</v>
      </c>
      <c r="N28" s="12" t="s">
        <v>140</v>
      </c>
      <c r="O28" s="12" t="s">
        <v>8</v>
      </c>
      <c r="P28" s="12" t="s">
        <v>109</v>
      </c>
    </row>
    <row r="29" spans="1:16" x14ac:dyDescent="0.45">
      <c r="A29" s="105"/>
      <c r="B29" s="100"/>
      <c r="C29" s="39" t="s">
        <v>26</v>
      </c>
      <c r="D29" s="13" t="s">
        <v>344</v>
      </c>
      <c r="E29" s="13" t="s">
        <v>200</v>
      </c>
      <c r="F29" s="13" t="s">
        <v>131</v>
      </c>
      <c r="G29" s="13" t="s">
        <v>64</v>
      </c>
      <c r="H29" s="13" t="s">
        <v>38</v>
      </c>
      <c r="I29" s="13" t="s">
        <v>200</v>
      </c>
      <c r="J29" s="34" t="s">
        <v>110</v>
      </c>
      <c r="K29" s="14" t="s">
        <v>141</v>
      </c>
      <c r="L29" s="14" t="s">
        <v>143</v>
      </c>
      <c r="M29" s="14" t="s">
        <v>142</v>
      </c>
      <c r="N29" s="14" t="s">
        <v>144</v>
      </c>
      <c r="O29" s="14" t="s">
        <v>145</v>
      </c>
      <c r="P29" s="14" t="s">
        <v>146</v>
      </c>
    </row>
    <row r="30" spans="1:16" x14ac:dyDescent="0.45">
      <c r="A30" s="106" t="s">
        <v>259</v>
      </c>
      <c r="B30" s="101">
        <v>36</v>
      </c>
      <c r="C30" s="37" t="s">
        <v>22</v>
      </c>
      <c r="D30" s="6" t="s">
        <v>285</v>
      </c>
      <c r="E30" s="6" t="s">
        <v>82</v>
      </c>
      <c r="F30" s="6" t="s">
        <v>46</v>
      </c>
      <c r="G30" s="6" t="s">
        <v>123</v>
      </c>
      <c r="H30" s="6" t="s">
        <v>97</v>
      </c>
      <c r="I30" s="6" t="s">
        <v>345</v>
      </c>
      <c r="J30" s="32" t="s">
        <v>289</v>
      </c>
      <c r="K30" s="7" t="s">
        <v>56</v>
      </c>
      <c r="L30" s="7" t="s">
        <v>23</v>
      </c>
      <c r="M30" s="7" t="s">
        <v>58</v>
      </c>
      <c r="N30" s="7" t="s">
        <v>147</v>
      </c>
      <c r="O30" s="7" t="s">
        <v>3</v>
      </c>
      <c r="P30" s="7" t="s">
        <v>148</v>
      </c>
    </row>
    <row r="31" spans="1:16" x14ac:dyDescent="0.45">
      <c r="A31" s="106"/>
      <c r="B31" s="101"/>
      <c r="C31" s="37" t="s">
        <v>26</v>
      </c>
      <c r="D31" s="6" t="s">
        <v>346</v>
      </c>
      <c r="E31" s="6" t="s">
        <v>347</v>
      </c>
      <c r="F31" s="6" t="s">
        <v>121</v>
      </c>
      <c r="G31" s="6" t="s">
        <v>38</v>
      </c>
      <c r="H31" s="6" t="s">
        <v>302</v>
      </c>
      <c r="I31" s="6" t="s">
        <v>38</v>
      </c>
      <c r="J31" s="32" t="s">
        <v>324</v>
      </c>
      <c r="K31" s="7" t="s">
        <v>149</v>
      </c>
      <c r="L31" s="7" t="s">
        <v>151</v>
      </c>
      <c r="M31" s="7" t="s">
        <v>150</v>
      </c>
      <c r="N31" s="7" t="s">
        <v>130</v>
      </c>
      <c r="O31" s="7" t="s">
        <v>152</v>
      </c>
      <c r="P31" s="7" t="s">
        <v>150</v>
      </c>
    </row>
    <row r="32" spans="1:16" x14ac:dyDescent="0.45">
      <c r="A32" s="104" t="s">
        <v>260</v>
      </c>
      <c r="B32" s="99">
        <v>23</v>
      </c>
      <c r="C32" s="38" t="s">
        <v>22</v>
      </c>
      <c r="D32" s="11" t="s">
        <v>330</v>
      </c>
      <c r="E32" s="11" t="s">
        <v>348</v>
      </c>
      <c r="F32" s="11" t="s">
        <v>349</v>
      </c>
      <c r="G32" s="11" t="s">
        <v>154</v>
      </c>
      <c r="H32" s="11" t="s">
        <v>157</v>
      </c>
      <c r="I32" s="11" t="s">
        <v>47</v>
      </c>
      <c r="J32" s="33" t="s">
        <v>132</v>
      </c>
      <c r="K32" s="12" t="s">
        <v>153</v>
      </c>
      <c r="L32" s="12" t="s">
        <v>108</v>
      </c>
      <c r="M32" s="12" t="s">
        <v>154</v>
      </c>
      <c r="N32" s="12" t="s">
        <v>83</v>
      </c>
      <c r="O32" s="12" t="s">
        <v>107</v>
      </c>
      <c r="P32" s="12" t="s">
        <v>97</v>
      </c>
    </row>
    <row r="33" spans="1:16" x14ac:dyDescent="0.45">
      <c r="A33" s="105"/>
      <c r="B33" s="100"/>
      <c r="C33" s="39" t="s">
        <v>26</v>
      </c>
      <c r="D33" s="13" t="s">
        <v>319</v>
      </c>
      <c r="E33" s="13" t="s">
        <v>350</v>
      </c>
      <c r="F33" s="13" t="s">
        <v>351</v>
      </c>
      <c r="G33" s="13" t="s">
        <v>293</v>
      </c>
      <c r="H33" s="13" t="s">
        <v>293</v>
      </c>
      <c r="I33" s="13" t="s">
        <v>352</v>
      </c>
      <c r="J33" s="34" t="s">
        <v>353</v>
      </c>
      <c r="K33" s="14" t="s">
        <v>155</v>
      </c>
      <c r="L33" s="14" t="s">
        <v>86</v>
      </c>
      <c r="M33" s="14" t="s">
        <v>128</v>
      </c>
      <c r="N33" s="14" t="s">
        <v>31</v>
      </c>
      <c r="O33" s="14" t="s">
        <v>156</v>
      </c>
      <c r="P33" s="15">
        <v>1000</v>
      </c>
    </row>
    <row r="34" spans="1:16" x14ac:dyDescent="0.45">
      <c r="A34" s="106" t="s">
        <v>261</v>
      </c>
      <c r="B34" s="101">
        <v>4</v>
      </c>
      <c r="C34" s="37" t="s">
        <v>22</v>
      </c>
      <c r="D34" s="6" t="s">
        <v>90</v>
      </c>
      <c r="E34" s="6" t="s">
        <v>24</v>
      </c>
      <c r="F34" s="6" t="s">
        <v>24</v>
      </c>
      <c r="G34" s="6" t="s">
        <v>8</v>
      </c>
      <c r="H34" s="6" t="s">
        <v>305</v>
      </c>
      <c r="I34" s="6" t="s">
        <v>90</v>
      </c>
      <c r="J34" s="32" t="s">
        <v>230</v>
      </c>
      <c r="K34" s="7" t="s">
        <v>153</v>
      </c>
      <c r="L34" s="7" t="s">
        <v>158</v>
      </c>
      <c r="M34" s="7" t="s">
        <v>157</v>
      </c>
      <c r="N34" s="7" t="s">
        <v>159</v>
      </c>
      <c r="O34" s="7" t="s">
        <v>83</v>
      </c>
      <c r="P34" s="7" t="s">
        <v>160</v>
      </c>
    </row>
    <row r="35" spans="1:16" x14ac:dyDescent="0.45">
      <c r="A35" s="106"/>
      <c r="B35" s="101"/>
      <c r="C35" s="37" t="s">
        <v>26</v>
      </c>
      <c r="D35" s="6" t="s">
        <v>114</v>
      </c>
      <c r="E35" s="6" t="s">
        <v>182</v>
      </c>
      <c r="F35" s="6" t="s">
        <v>182</v>
      </c>
      <c r="G35" s="6" t="s">
        <v>317</v>
      </c>
      <c r="H35" s="6" t="s">
        <v>73</v>
      </c>
      <c r="I35" s="6" t="s">
        <v>114</v>
      </c>
      <c r="J35" s="32" t="s">
        <v>73</v>
      </c>
      <c r="K35" s="7" t="s">
        <v>161</v>
      </c>
      <c r="L35" s="7" t="s">
        <v>73</v>
      </c>
      <c r="M35" s="7" t="s">
        <v>110</v>
      </c>
      <c r="N35" s="7" t="s">
        <v>162</v>
      </c>
      <c r="O35" s="7" t="s">
        <v>111</v>
      </c>
      <c r="P35" s="7" t="s">
        <v>163</v>
      </c>
    </row>
    <row r="36" spans="1:16" x14ac:dyDescent="0.45">
      <c r="A36" s="104" t="s">
        <v>262</v>
      </c>
      <c r="B36" s="99">
        <v>18</v>
      </c>
      <c r="C36" s="38" t="s">
        <v>22</v>
      </c>
      <c r="D36" s="11" t="s">
        <v>97</v>
      </c>
      <c r="E36" s="11" t="s">
        <v>55</v>
      </c>
      <c r="F36" s="11" t="s">
        <v>82</v>
      </c>
      <c r="G36" s="11" t="s">
        <v>124</v>
      </c>
      <c r="H36" s="11" t="s">
        <v>132</v>
      </c>
      <c r="I36" s="11" t="s">
        <v>46</v>
      </c>
      <c r="J36" s="33" t="s">
        <v>132</v>
      </c>
      <c r="K36" s="12" t="s">
        <v>147</v>
      </c>
      <c r="L36" s="12" t="s">
        <v>165</v>
      </c>
      <c r="M36" s="12" t="s">
        <v>164</v>
      </c>
      <c r="N36" s="12" t="s">
        <v>157</v>
      </c>
      <c r="O36" s="12" t="s">
        <v>166</v>
      </c>
      <c r="P36" s="12" t="s">
        <v>108</v>
      </c>
    </row>
    <row r="37" spans="1:16" x14ac:dyDescent="0.45">
      <c r="A37" s="105"/>
      <c r="B37" s="100"/>
      <c r="C37" s="39" t="s">
        <v>26</v>
      </c>
      <c r="D37" s="13" t="s">
        <v>354</v>
      </c>
      <c r="E37" s="13" t="s">
        <v>355</v>
      </c>
      <c r="F37" s="13" t="s">
        <v>302</v>
      </c>
      <c r="G37" s="13" t="s">
        <v>356</v>
      </c>
      <c r="H37" s="13" t="s">
        <v>346</v>
      </c>
      <c r="I37" s="13" t="s">
        <v>120</v>
      </c>
      <c r="J37" s="34" t="s">
        <v>41</v>
      </c>
      <c r="K37" s="14" t="s">
        <v>167</v>
      </c>
      <c r="L37" s="14" t="s">
        <v>169</v>
      </c>
      <c r="M37" s="14" t="s">
        <v>168</v>
      </c>
      <c r="N37" s="14" t="s">
        <v>170</v>
      </c>
      <c r="O37" s="14" t="s">
        <v>171</v>
      </c>
      <c r="P37" s="14" t="s">
        <v>172</v>
      </c>
    </row>
    <row r="38" spans="1:16" x14ac:dyDescent="0.45">
      <c r="A38" s="106" t="s">
        <v>263</v>
      </c>
      <c r="B38" s="101">
        <v>1</v>
      </c>
      <c r="C38" s="37" t="s">
        <v>22</v>
      </c>
      <c r="D38" s="6" t="s">
        <v>9</v>
      </c>
      <c r="E38" s="6" t="s">
        <v>8</v>
      </c>
      <c r="F38" s="6" t="s">
        <v>357</v>
      </c>
      <c r="G38" s="6" t="s">
        <v>8</v>
      </c>
      <c r="H38" s="6" t="s">
        <v>9</v>
      </c>
      <c r="I38" s="6" t="s">
        <v>114</v>
      </c>
      <c r="J38" s="32" t="s">
        <v>357</v>
      </c>
      <c r="K38" s="7" t="s">
        <v>77</v>
      </c>
      <c r="L38" s="7" t="s">
        <v>8</v>
      </c>
      <c r="M38" s="7" t="s">
        <v>10</v>
      </c>
      <c r="N38" s="7" t="s">
        <v>77</v>
      </c>
      <c r="O38" s="7" t="s">
        <v>37</v>
      </c>
      <c r="P38" s="7" t="s">
        <v>77</v>
      </c>
    </row>
    <row r="39" spans="1:16" x14ac:dyDescent="0.45">
      <c r="A39" s="106"/>
      <c r="B39" s="101"/>
      <c r="C39" s="37" t="s">
        <v>26</v>
      </c>
      <c r="D39" s="6" t="s">
        <v>173</v>
      </c>
      <c r="E39" s="6" t="s">
        <v>173</v>
      </c>
      <c r="F39" s="6" t="s">
        <v>173</v>
      </c>
      <c r="G39" s="6" t="s">
        <v>173</v>
      </c>
      <c r="H39" s="6" t="s">
        <v>173</v>
      </c>
      <c r="I39" s="6" t="s">
        <v>173</v>
      </c>
      <c r="J39" s="32" t="s">
        <v>173</v>
      </c>
      <c r="K39" s="7" t="s">
        <v>173</v>
      </c>
      <c r="L39" s="7" t="s">
        <v>173</v>
      </c>
      <c r="M39" s="7" t="s">
        <v>173</v>
      </c>
      <c r="N39" s="7" t="s">
        <v>173</v>
      </c>
      <c r="O39" s="7" t="s">
        <v>173</v>
      </c>
      <c r="P39" s="7" t="s">
        <v>173</v>
      </c>
    </row>
    <row r="40" spans="1:16" x14ac:dyDescent="0.45">
      <c r="A40" s="104" t="s">
        <v>264</v>
      </c>
      <c r="B40" s="99">
        <v>56</v>
      </c>
      <c r="C40" s="38" t="s">
        <v>22</v>
      </c>
      <c r="D40" s="11" t="s">
        <v>358</v>
      </c>
      <c r="E40" s="11" t="s">
        <v>159</v>
      </c>
      <c r="F40" s="11" t="s">
        <v>54</v>
      </c>
      <c r="G40" s="11" t="s">
        <v>75</v>
      </c>
      <c r="H40" s="11" t="s">
        <v>54</v>
      </c>
      <c r="I40" s="11" t="s">
        <v>359</v>
      </c>
      <c r="J40" s="33" t="s">
        <v>360</v>
      </c>
      <c r="K40" s="12" t="s">
        <v>166</v>
      </c>
      <c r="L40" s="12" t="s">
        <v>157</v>
      </c>
      <c r="M40" s="12" t="s">
        <v>83</v>
      </c>
      <c r="N40" s="12" t="s">
        <v>65</v>
      </c>
      <c r="O40" s="12" t="s">
        <v>56</v>
      </c>
      <c r="P40" s="12" t="s">
        <v>166</v>
      </c>
    </row>
    <row r="41" spans="1:16" x14ac:dyDescent="0.45">
      <c r="A41" s="105"/>
      <c r="B41" s="100"/>
      <c r="C41" s="39" t="s">
        <v>26</v>
      </c>
      <c r="D41" s="13" t="s">
        <v>361</v>
      </c>
      <c r="E41" s="13" t="s">
        <v>356</v>
      </c>
      <c r="F41" s="13" t="s">
        <v>38</v>
      </c>
      <c r="G41" s="13" t="s">
        <v>69</v>
      </c>
      <c r="H41" s="13" t="s">
        <v>13</v>
      </c>
      <c r="I41" s="13" t="s">
        <v>315</v>
      </c>
      <c r="J41" s="34" t="s">
        <v>307</v>
      </c>
      <c r="K41" s="14" t="s">
        <v>31</v>
      </c>
      <c r="L41" s="14" t="s">
        <v>175</v>
      </c>
      <c r="M41" s="14" t="s">
        <v>174</v>
      </c>
      <c r="N41" s="14" t="s">
        <v>176</v>
      </c>
      <c r="O41" s="14" t="s">
        <v>177</v>
      </c>
      <c r="P41" s="14" t="s">
        <v>168</v>
      </c>
    </row>
    <row r="42" spans="1:16" x14ac:dyDescent="0.45">
      <c r="A42" s="106" t="s">
        <v>265</v>
      </c>
      <c r="B42" s="101">
        <v>19</v>
      </c>
      <c r="C42" s="37" t="s">
        <v>22</v>
      </c>
      <c r="D42" s="6" t="s">
        <v>109</v>
      </c>
      <c r="E42" s="6" t="s">
        <v>153</v>
      </c>
      <c r="F42" s="6" t="s">
        <v>97</v>
      </c>
      <c r="G42" s="6" t="s">
        <v>283</v>
      </c>
      <c r="H42" s="6" t="s">
        <v>97</v>
      </c>
      <c r="I42" s="6" t="s">
        <v>35</v>
      </c>
      <c r="J42" s="32" t="s">
        <v>362</v>
      </c>
      <c r="K42" s="7" t="s">
        <v>4</v>
      </c>
      <c r="L42" s="7" t="s">
        <v>178</v>
      </c>
      <c r="M42" s="7" t="s">
        <v>5</v>
      </c>
      <c r="N42" s="7" t="s">
        <v>148</v>
      </c>
      <c r="O42" s="7" t="s">
        <v>179</v>
      </c>
      <c r="P42" s="7" t="s">
        <v>109</v>
      </c>
    </row>
    <row r="43" spans="1:16" x14ac:dyDescent="0.45">
      <c r="A43" s="106"/>
      <c r="B43" s="101"/>
      <c r="C43" s="37" t="s">
        <v>26</v>
      </c>
      <c r="D43" s="6" t="s">
        <v>363</v>
      </c>
      <c r="E43" s="6" t="s">
        <v>121</v>
      </c>
      <c r="F43" s="6" t="s">
        <v>324</v>
      </c>
      <c r="G43" s="6" t="s">
        <v>43</v>
      </c>
      <c r="H43" s="6" t="s">
        <v>353</v>
      </c>
      <c r="I43" s="6" t="s">
        <v>110</v>
      </c>
      <c r="J43" s="32" t="s">
        <v>64</v>
      </c>
      <c r="K43" s="7" t="s">
        <v>180</v>
      </c>
      <c r="L43" s="7" t="s">
        <v>182</v>
      </c>
      <c r="M43" s="7" t="s">
        <v>181</v>
      </c>
      <c r="N43" s="7" t="s">
        <v>78</v>
      </c>
      <c r="O43" s="7" t="s">
        <v>183</v>
      </c>
      <c r="P43" s="7" t="s">
        <v>184</v>
      </c>
    </row>
    <row r="44" spans="1:16" x14ac:dyDescent="0.45">
      <c r="A44" s="104" t="s">
        <v>266</v>
      </c>
      <c r="B44" s="99">
        <v>8</v>
      </c>
      <c r="C44" s="38" t="s">
        <v>22</v>
      </c>
      <c r="D44" s="11" t="s">
        <v>8</v>
      </c>
      <c r="E44" s="11" t="s">
        <v>364</v>
      </c>
      <c r="F44" s="11" t="s">
        <v>4</v>
      </c>
      <c r="G44" s="11" t="s">
        <v>23</v>
      </c>
      <c r="H44" s="11" t="s">
        <v>67</v>
      </c>
      <c r="I44" s="11" t="s">
        <v>365</v>
      </c>
      <c r="J44" s="33" t="s">
        <v>366</v>
      </c>
      <c r="K44" s="12" t="s">
        <v>185</v>
      </c>
      <c r="L44" s="12" t="s">
        <v>187</v>
      </c>
      <c r="M44" s="12" t="s">
        <v>186</v>
      </c>
      <c r="N44" s="12" t="s">
        <v>188</v>
      </c>
      <c r="O44" s="12" t="s">
        <v>65</v>
      </c>
      <c r="P44" s="12" t="s">
        <v>23</v>
      </c>
    </row>
    <row r="45" spans="1:16" x14ac:dyDescent="0.45">
      <c r="A45" s="105"/>
      <c r="B45" s="100"/>
      <c r="C45" s="39" t="s">
        <v>26</v>
      </c>
      <c r="D45" s="13" t="s">
        <v>81</v>
      </c>
      <c r="E45" s="13" t="s">
        <v>41</v>
      </c>
      <c r="F45" s="13" t="s">
        <v>367</v>
      </c>
      <c r="G45" s="13" t="s">
        <v>69</v>
      </c>
      <c r="H45" s="13" t="s">
        <v>368</v>
      </c>
      <c r="I45" s="13" t="s">
        <v>324</v>
      </c>
      <c r="J45" s="34" t="s">
        <v>369</v>
      </c>
      <c r="K45" s="14" t="s">
        <v>189</v>
      </c>
      <c r="L45" s="14" t="s">
        <v>183</v>
      </c>
      <c r="M45" s="14" t="s">
        <v>190</v>
      </c>
      <c r="N45" s="14" t="s">
        <v>191</v>
      </c>
      <c r="O45" s="14" t="s">
        <v>137</v>
      </c>
      <c r="P45" s="14" t="s">
        <v>192</v>
      </c>
    </row>
    <row r="46" spans="1:16" x14ac:dyDescent="0.45">
      <c r="A46" s="106" t="s">
        <v>267</v>
      </c>
      <c r="B46" s="101">
        <v>13</v>
      </c>
      <c r="C46" s="37" t="s">
        <v>22</v>
      </c>
      <c r="D46" s="6" t="s">
        <v>193</v>
      </c>
      <c r="E46" s="6" t="s">
        <v>159</v>
      </c>
      <c r="F46" s="6" t="s">
        <v>8</v>
      </c>
      <c r="G46" s="6" t="s">
        <v>24</v>
      </c>
      <c r="H46" s="6" t="s">
        <v>8</v>
      </c>
      <c r="I46" s="6" t="s">
        <v>10</v>
      </c>
      <c r="J46" s="32" t="s">
        <v>287</v>
      </c>
      <c r="K46" s="7" t="s">
        <v>160</v>
      </c>
      <c r="L46" s="7" t="s">
        <v>193</v>
      </c>
      <c r="M46" s="7" t="s">
        <v>7</v>
      </c>
      <c r="N46" s="7" t="s">
        <v>193</v>
      </c>
      <c r="O46" s="7" t="s">
        <v>194</v>
      </c>
      <c r="P46" s="7" t="s">
        <v>68</v>
      </c>
    </row>
    <row r="47" spans="1:16" x14ac:dyDescent="0.45">
      <c r="A47" s="106"/>
      <c r="B47" s="101"/>
      <c r="C47" s="37" t="s">
        <v>26</v>
      </c>
      <c r="D47" s="6" t="s">
        <v>370</v>
      </c>
      <c r="E47" s="6" t="s">
        <v>371</v>
      </c>
      <c r="F47" s="6" t="s">
        <v>372</v>
      </c>
      <c r="G47" s="6" t="s">
        <v>373</v>
      </c>
      <c r="H47" s="6" t="s">
        <v>374</v>
      </c>
      <c r="I47" s="6" t="s">
        <v>372</v>
      </c>
      <c r="J47" s="32" t="s">
        <v>81</v>
      </c>
      <c r="K47" s="7" t="s">
        <v>195</v>
      </c>
      <c r="L47" s="7" t="s">
        <v>197</v>
      </c>
      <c r="M47" s="7" t="s">
        <v>196</v>
      </c>
      <c r="N47" s="7" t="s">
        <v>198</v>
      </c>
      <c r="O47" s="7" t="s">
        <v>199</v>
      </c>
      <c r="P47" s="7" t="s">
        <v>200</v>
      </c>
    </row>
    <row r="48" spans="1:16" ht="17.649999999999999" customHeight="1" x14ac:dyDescent="0.45">
      <c r="A48" s="104" t="s">
        <v>268</v>
      </c>
      <c r="B48" s="99">
        <v>13</v>
      </c>
      <c r="C48" s="38" t="s">
        <v>22</v>
      </c>
      <c r="D48" s="11" t="s">
        <v>68</v>
      </c>
      <c r="E48" s="11" t="s">
        <v>188</v>
      </c>
      <c r="F48" s="11" t="s">
        <v>8</v>
      </c>
      <c r="G48" s="11" t="s">
        <v>126</v>
      </c>
      <c r="H48" s="11" t="s">
        <v>1</v>
      </c>
      <c r="I48" s="11" t="s">
        <v>375</v>
      </c>
      <c r="J48" s="33" t="s">
        <v>68</v>
      </c>
      <c r="K48" s="12" t="s">
        <v>66</v>
      </c>
      <c r="L48" s="12" t="s">
        <v>66</v>
      </c>
      <c r="M48" s="12" t="s">
        <v>115</v>
      </c>
      <c r="N48" s="12" t="s">
        <v>125</v>
      </c>
      <c r="O48" s="12" t="s">
        <v>201</v>
      </c>
      <c r="P48" s="12" t="s">
        <v>58</v>
      </c>
    </row>
    <row r="49" spans="1:16" x14ac:dyDescent="0.45">
      <c r="A49" s="105"/>
      <c r="B49" s="100"/>
      <c r="C49" s="39" t="s">
        <v>26</v>
      </c>
      <c r="D49" s="13" t="s">
        <v>131</v>
      </c>
      <c r="E49" s="13" t="s">
        <v>294</v>
      </c>
      <c r="F49" s="13" t="s">
        <v>376</v>
      </c>
      <c r="G49" s="13" t="s">
        <v>295</v>
      </c>
      <c r="H49" s="13" t="s">
        <v>293</v>
      </c>
      <c r="I49" s="13" t="s">
        <v>368</v>
      </c>
      <c r="J49" s="34" t="s">
        <v>163</v>
      </c>
      <c r="K49" s="14" t="s">
        <v>111</v>
      </c>
      <c r="L49" s="14" t="s">
        <v>203</v>
      </c>
      <c r="M49" s="14" t="s">
        <v>202</v>
      </c>
      <c r="N49" s="14" t="s">
        <v>143</v>
      </c>
      <c r="O49" s="14" t="s">
        <v>204</v>
      </c>
      <c r="P49" s="14" t="s">
        <v>39</v>
      </c>
    </row>
    <row r="50" spans="1:16" x14ac:dyDescent="0.45">
      <c r="A50" s="106" t="s">
        <v>269</v>
      </c>
      <c r="B50" s="101">
        <v>14</v>
      </c>
      <c r="C50" s="37" t="s">
        <v>22</v>
      </c>
      <c r="D50" s="6" t="s">
        <v>242</v>
      </c>
      <c r="E50" s="6" t="s">
        <v>377</v>
      </c>
      <c r="F50" s="6" t="s">
        <v>378</v>
      </c>
      <c r="G50" s="6" t="s">
        <v>349</v>
      </c>
      <c r="H50" s="6" t="s">
        <v>296</v>
      </c>
      <c r="I50" s="6" t="s">
        <v>3</v>
      </c>
      <c r="J50" s="32" t="s">
        <v>75</v>
      </c>
      <c r="K50" s="7" t="s">
        <v>24</v>
      </c>
      <c r="L50" s="7" t="s">
        <v>108</v>
      </c>
      <c r="M50" s="7" t="s">
        <v>166</v>
      </c>
      <c r="N50" s="7" t="s">
        <v>205</v>
      </c>
      <c r="O50" s="7" t="s">
        <v>57</v>
      </c>
      <c r="P50" s="7" t="s">
        <v>108</v>
      </c>
    </row>
    <row r="51" spans="1:16" x14ac:dyDescent="0.45">
      <c r="A51" s="106"/>
      <c r="B51" s="101"/>
      <c r="C51" s="37" t="s">
        <v>26</v>
      </c>
      <c r="D51" s="6" t="s">
        <v>379</v>
      </c>
      <c r="E51" s="6" t="s">
        <v>121</v>
      </c>
      <c r="F51" s="6" t="s">
        <v>324</v>
      </c>
      <c r="G51" s="6" t="s">
        <v>293</v>
      </c>
      <c r="H51" s="6" t="s">
        <v>372</v>
      </c>
      <c r="I51" s="6" t="s">
        <v>376</v>
      </c>
      <c r="J51" s="32" t="s">
        <v>323</v>
      </c>
      <c r="K51" s="7" t="s">
        <v>206</v>
      </c>
      <c r="L51" s="7" t="s">
        <v>208</v>
      </c>
      <c r="M51" s="7" t="s">
        <v>207</v>
      </c>
      <c r="N51" s="7" t="s">
        <v>209</v>
      </c>
      <c r="O51" s="7" t="s">
        <v>210</v>
      </c>
      <c r="P51" s="7" t="s">
        <v>211</v>
      </c>
    </row>
    <row r="52" spans="1:16" x14ac:dyDescent="0.45">
      <c r="A52" s="104" t="s">
        <v>270</v>
      </c>
      <c r="B52" s="99">
        <v>50</v>
      </c>
      <c r="C52" s="38" t="s">
        <v>22</v>
      </c>
      <c r="D52" s="11" t="s">
        <v>3</v>
      </c>
      <c r="E52" s="11" t="s">
        <v>153</v>
      </c>
      <c r="F52" s="11" t="s">
        <v>115</v>
      </c>
      <c r="G52" s="11" t="s">
        <v>318</v>
      </c>
      <c r="H52" s="11" t="s">
        <v>133</v>
      </c>
      <c r="I52" s="11" t="s">
        <v>380</v>
      </c>
      <c r="J52" s="33" t="s">
        <v>46</v>
      </c>
      <c r="K52" s="12" t="s">
        <v>205</v>
      </c>
      <c r="L52" s="12" t="s">
        <v>1</v>
      </c>
      <c r="M52" s="12" t="s">
        <v>67</v>
      </c>
      <c r="N52" s="12" t="s">
        <v>67</v>
      </c>
      <c r="O52" s="12" t="s">
        <v>201</v>
      </c>
      <c r="P52" s="12" t="s">
        <v>212</v>
      </c>
    </row>
    <row r="53" spans="1:16" x14ac:dyDescent="0.45">
      <c r="A53" s="105"/>
      <c r="B53" s="100"/>
      <c r="C53" s="39" t="s">
        <v>26</v>
      </c>
      <c r="D53" s="13" t="s">
        <v>381</v>
      </c>
      <c r="E53" s="13" t="s">
        <v>61</v>
      </c>
      <c r="F53" s="13" t="s">
        <v>350</v>
      </c>
      <c r="G53" s="13" t="s">
        <v>356</v>
      </c>
      <c r="H53" s="13" t="s">
        <v>204</v>
      </c>
      <c r="I53" s="13" t="s">
        <v>314</v>
      </c>
      <c r="J53" s="34" t="s">
        <v>43</v>
      </c>
      <c r="K53" s="14" t="s">
        <v>213</v>
      </c>
      <c r="L53" s="14" t="s">
        <v>215</v>
      </c>
      <c r="M53" s="14" t="s">
        <v>214</v>
      </c>
      <c r="N53" s="14" t="s">
        <v>151</v>
      </c>
      <c r="O53" s="14" t="s">
        <v>216</v>
      </c>
      <c r="P53" s="14" t="s">
        <v>217</v>
      </c>
    </row>
    <row r="54" spans="1:16" x14ac:dyDescent="0.45">
      <c r="A54" s="106" t="s">
        <v>271</v>
      </c>
      <c r="B54" s="101">
        <v>12</v>
      </c>
      <c r="C54" s="37" t="s">
        <v>22</v>
      </c>
      <c r="D54" s="6" t="s">
        <v>8</v>
      </c>
      <c r="E54" s="6" t="s">
        <v>77</v>
      </c>
      <c r="F54" s="6" t="s">
        <v>8</v>
      </c>
      <c r="G54" s="6" t="s">
        <v>382</v>
      </c>
      <c r="H54" s="6" t="s">
        <v>223</v>
      </c>
      <c r="I54" s="6" t="s">
        <v>135</v>
      </c>
      <c r="J54" s="32" t="s">
        <v>83</v>
      </c>
      <c r="K54" s="7" t="s">
        <v>157</v>
      </c>
      <c r="L54" s="7" t="s">
        <v>65</v>
      </c>
      <c r="M54" s="7" t="s">
        <v>77</v>
      </c>
      <c r="N54" s="7" t="s">
        <v>4</v>
      </c>
      <c r="O54" s="7" t="s">
        <v>56</v>
      </c>
      <c r="P54" s="7" t="s">
        <v>159</v>
      </c>
    </row>
    <row r="55" spans="1:16" x14ac:dyDescent="0.45">
      <c r="A55" s="106"/>
      <c r="B55" s="101"/>
      <c r="C55" s="37" t="s">
        <v>26</v>
      </c>
      <c r="D55" s="6" t="s">
        <v>144</v>
      </c>
      <c r="E55" s="6" t="s">
        <v>383</v>
      </c>
      <c r="F55" s="6" t="s">
        <v>356</v>
      </c>
      <c r="G55" s="6" t="s">
        <v>131</v>
      </c>
      <c r="H55" s="6" t="s">
        <v>39</v>
      </c>
      <c r="I55" s="6" t="s">
        <v>353</v>
      </c>
      <c r="J55" s="32" t="s">
        <v>43</v>
      </c>
      <c r="K55" s="7" t="s">
        <v>218</v>
      </c>
      <c r="L55" s="7" t="s">
        <v>220</v>
      </c>
      <c r="M55" s="7" t="s">
        <v>219</v>
      </c>
      <c r="N55" s="7" t="s">
        <v>221</v>
      </c>
      <c r="O55" s="7" t="s">
        <v>222</v>
      </c>
      <c r="P55" s="7" t="s">
        <v>62</v>
      </c>
    </row>
    <row r="56" spans="1:16" x14ac:dyDescent="0.45">
      <c r="A56" s="104" t="s">
        <v>272</v>
      </c>
      <c r="B56" s="99">
        <v>1</v>
      </c>
      <c r="C56" s="38" t="s">
        <v>22</v>
      </c>
      <c r="D56" s="11" t="s">
        <v>9</v>
      </c>
      <c r="E56" s="11" t="s">
        <v>357</v>
      </c>
      <c r="F56" s="11" t="s">
        <v>357</v>
      </c>
      <c r="G56" s="11" t="s">
        <v>8</v>
      </c>
      <c r="H56" s="11" t="s">
        <v>10</v>
      </c>
      <c r="I56" s="11" t="s">
        <v>114</v>
      </c>
      <c r="J56" s="33" t="s">
        <v>357</v>
      </c>
      <c r="K56" s="12" t="s">
        <v>223</v>
      </c>
      <c r="L56" s="12" t="s">
        <v>225</v>
      </c>
      <c r="M56" s="12" t="s">
        <v>224</v>
      </c>
      <c r="N56" s="12" t="s">
        <v>8</v>
      </c>
      <c r="O56" s="12" t="s">
        <v>226</v>
      </c>
      <c r="P56" s="12" t="s">
        <v>225</v>
      </c>
    </row>
    <row r="57" spans="1:16" x14ac:dyDescent="0.45">
      <c r="A57" s="105"/>
      <c r="B57" s="100"/>
      <c r="C57" s="39" t="s">
        <v>26</v>
      </c>
      <c r="D57" s="13" t="s">
        <v>173</v>
      </c>
      <c r="E57" s="13" t="s">
        <v>173</v>
      </c>
      <c r="F57" s="13" t="s">
        <v>173</v>
      </c>
      <c r="G57" s="13" t="s">
        <v>173</v>
      </c>
      <c r="H57" s="13" t="s">
        <v>173</v>
      </c>
      <c r="I57" s="13" t="s">
        <v>173</v>
      </c>
      <c r="J57" s="34" t="s">
        <v>173</v>
      </c>
      <c r="K57" s="14" t="s">
        <v>173</v>
      </c>
      <c r="L57" s="14" t="s">
        <v>173</v>
      </c>
      <c r="M57" s="14" t="s">
        <v>173</v>
      </c>
      <c r="N57" s="14" t="s">
        <v>173</v>
      </c>
      <c r="O57" s="14" t="s">
        <v>173</v>
      </c>
      <c r="P57" s="14" t="s">
        <v>173</v>
      </c>
    </row>
    <row r="58" spans="1:16" x14ac:dyDescent="0.45">
      <c r="A58" s="106" t="s">
        <v>273</v>
      </c>
      <c r="B58" s="101">
        <v>4</v>
      </c>
      <c r="C58" s="37" t="s">
        <v>22</v>
      </c>
      <c r="D58" s="6" t="s">
        <v>76</v>
      </c>
      <c r="E58" s="6" t="s">
        <v>77</v>
      </c>
      <c r="F58" s="6" t="s">
        <v>24</v>
      </c>
      <c r="G58" s="6" t="s">
        <v>90</v>
      </c>
      <c r="H58" s="6" t="s">
        <v>24</v>
      </c>
      <c r="I58" s="6" t="s">
        <v>230</v>
      </c>
      <c r="J58" s="32" t="s">
        <v>76</v>
      </c>
      <c r="K58" s="7" t="s">
        <v>227</v>
      </c>
      <c r="L58" s="7" t="s">
        <v>135</v>
      </c>
      <c r="M58" s="7" t="s">
        <v>228</v>
      </c>
      <c r="N58" s="7" t="s">
        <v>229</v>
      </c>
      <c r="O58" s="7" t="s">
        <v>230</v>
      </c>
      <c r="P58" s="7" t="s">
        <v>76</v>
      </c>
    </row>
    <row r="59" spans="1:16" x14ac:dyDescent="0.45">
      <c r="A59" s="106"/>
      <c r="B59" s="101"/>
      <c r="C59" s="37" t="s">
        <v>26</v>
      </c>
      <c r="D59" s="6" t="s">
        <v>182</v>
      </c>
      <c r="E59" s="6" t="s">
        <v>114</v>
      </c>
      <c r="F59" s="6" t="s">
        <v>288</v>
      </c>
      <c r="G59" s="6" t="s">
        <v>307</v>
      </c>
      <c r="H59" s="6" t="s">
        <v>309</v>
      </c>
      <c r="I59" s="6" t="s">
        <v>73</v>
      </c>
      <c r="J59" s="32" t="s">
        <v>182</v>
      </c>
      <c r="K59" s="7" t="s">
        <v>231</v>
      </c>
      <c r="L59" s="7" t="s">
        <v>233</v>
      </c>
      <c r="M59" s="7" t="s">
        <v>232</v>
      </c>
      <c r="N59" s="7" t="s">
        <v>234</v>
      </c>
      <c r="O59" s="7" t="s">
        <v>235</v>
      </c>
      <c r="P59" s="7" t="s">
        <v>182</v>
      </c>
    </row>
    <row r="60" spans="1:16" x14ac:dyDescent="0.45">
      <c r="A60" s="104" t="s">
        <v>274</v>
      </c>
      <c r="B60" s="99">
        <v>14</v>
      </c>
      <c r="C60" s="38" t="s">
        <v>22</v>
      </c>
      <c r="D60" s="11" t="s">
        <v>108</v>
      </c>
      <c r="E60" s="11" t="s">
        <v>384</v>
      </c>
      <c r="F60" s="11" t="s">
        <v>3</v>
      </c>
      <c r="G60" s="11" t="s">
        <v>242</v>
      </c>
      <c r="H60" s="11" t="s">
        <v>296</v>
      </c>
      <c r="I60" s="11" t="s">
        <v>8</v>
      </c>
      <c r="J60" s="33" t="s">
        <v>35</v>
      </c>
      <c r="K60" s="12" t="s">
        <v>134</v>
      </c>
      <c r="L60" s="12" t="s">
        <v>237</v>
      </c>
      <c r="M60" s="12" t="s">
        <v>236</v>
      </c>
      <c r="N60" s="12" t="s">
        <v>4</v>
      </c>
      <c r="O60" s="12" t="s">
        <v>193</v>
      </c>
      <c r="P60" s="12" t="s">
        <v>66</v>
      </c>
    </row>
    <row r="61" spans="1:16" x14ac:dyDescent="0.45">
      <c r="A61" s="105"/>
      <c r="B61" s="100"/>
      <c r="C61" s="39" t="s">
        <v>26</v>
      </c>
      <c r="D61" s="13" t="s">
        <v>385</v>
      </c>
      <c r="E61" s="13" t="s">
        <v>386</v>
      </c>
      <c r="F61" s="13" t="s">
        <v>376</v>
      </c>
      <c r="G61" s="13" t="s">
        <v>387</v>
      </c>
      <c r="H61" s="13" t="s">
        <v>372</v>
      </c>
      <c r="I61" s="13" t="s">
        <v>41</v>
      </c>
      <c r="J61" s="34" t="s">
        <v>388</v>
      </c>
      <c r="K61" s="14" t="s">
        <v>105</v>
      </c>
      <c r="L61" s="14" t="s">
        <v>239</v>
      </c>
      <c r="M61" s="14" t="s">
        <v>238</v>
      </c>
      <c r="N61" s="14" t="s">
        <v>240</v>
      </c>
      <c r="O61" s="14" t="s">
        <v>241</v>
      </c>
      <c r="P61" s="14" t="s">
        <v>64</v>
      </c>
    </row>
    <row r="62" spans="1:16" x14ac:dyDescent="0.45">
      <c r="A62" s="106" t="s">
        <v>275</v>
      </c>
      <c r="B62" s="101">
        <v>1</v>
      </c>
      <c r="C62" s="37" t="s">
        <v>22</v>
      </c>
      <c r="D62" s="6" t="s">
        <v>9</v>
      </c>
      <c r="E62" s="6" t="s">
        <v>8</v>
      </c>
      <c r="F62" s="6" t="s">
        <v>9</v>
      </c>
      <c r="G62" s="6" t="s">
        <v>8</v>
      </c>
      <c r="H62" s="6" t="s">
        <v>9</v>
      </c>
      <c r="I62" s="6" t="s">
        <v>9</v>
      </c>
      <c r="J62" s="32" t="s">
        <v>10</v>
      </c>
      <c r="K62" s="7" t="s">
        <v>9</v>
      </c>
      <c r="L62" s="7" t="s">
        <v>243</v>
      </c>
      <c r="M62" s="7" t="s">
        <v>242</v>
      </c>
      <c r="N62" s="7" t="s">
        <v>10</v>
      </c>
      <c r="O62" s="7" t="s">
        <v>92</v>
      </c>
      <c r="P62" s="7" t="s">
        <v>9</v>
      </c>
    </row>
    <row r="63" spans="1:16" ht="14.65" thickBot="1" x14ac:dyDescent="0.5">
      <c r="A63" s="107"/>
      <c r="B63" s="102"/>
      <c r="C63" s="40" t="s">
        <v>26</v>
      </c>
      <c r="D63" s="8" t="s">
        <v>173</v>
      </c>
      <c r="E63" s="8" t="s">
        <v>173</v>
      </c>
      <c r="F63" s="8" t="s">
        <v>173</v>
      </c>
      <c r="G63" s="8" t="s">
        <v>173</v>
      </c>
      <c r="H63" s="8" t="s">
        <v>173</v>
      </c>
      <c r="I63" s="8" t="s">
        <v>173</v>
      </c>
      <c r="J63" s="35" t="s">
        <v>173</v>
      </c>
      <c r="K63" s="9" t="s">
        <v>173</v>
      </c>
      <c r="L63" s="9" t="s">
        <v>173</v>
      </c>
      <c r="M63" s="9" t="s">
        <v>173</v>
      </c>
      <c r="N63" s="9" t="s">
        <v>173</v>
      </c>
      <c r="O63" s="9" t="s">
        <v>173</v>
      </c>
      <c r="P63" s="9" t="s">
        <v>173</v>
      </c>
    </row>
    <row r="65" spans="1:6" x14ac:dyDescent="0.45">
      <c r="A65" s="97" t="s">
        <v>450</v>
      </c>
      <c r="B65" s="98"/>
      <c r="C65" s="98"/>
      <c r="D65" s="98"/>
      <c r="E65" s="98"/>
      <c r="F65" s="98"/>
    </row>
  </sheetData>
  <mergeCells count="63">
    <mergeCell ref="A22:A23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4:A25"/>
    <mergeCell ref="A26:A27"/>
    <mergeCell ref="A28:A29"/>
    <mergeCell ref="A30:A31"/>
    <mergeCell ref="A32:A33"/>
    <mergeCell ref="B28:B29"/>
    <mergeCell ref="A60:A61"/>
    <mergeCell ref="A62:A63"/>
    <mergeCell ref="A48:A49"/>
    <mergeCell ref="A50:A51"/>
    <mergeCell ref="A52:A53"/>
    <mergeCell ref="A54:A55"/>
    <mergeCell ref="A56:A57"/>
    <mergeCell ref="A58:A59"/>
    <mergeCell ref="A36:A37"/>
    <mergeCell ref="A38:A39"/>
    <mergeCell ref="A40:A41"/>
    <mergeCell ref="A42:A43"/>
    <mergeCell ref="A44:A45"/>
    <mergeCell ref="A46:A47"/>
    <mergeCell ref="A34:A35"/>
    <mergeCell ref="B18:B19"/>
    <mergeCell ref="B20:B21"/>
    <mergeCell ref="B22:B23"/>
    <mergeCell ref="B24:B25"/>
    <mergeCell ref="B26:B27"/>
    <mergeCell ref="B50:B51"/>
    <mergeCell ref="B52:B53"/>
    <mergeCell ref="B30:B31"/>
    <mergeCell ref="B38:B39"/>
    <mergeCell ref="B40:B41"/>
    <mergeCell ref="B2:B3"/>
    <mergeCell ref="B4:B5"/>
    <mergeCell ref="B6:B7"/>
    <mergeCell ref="B8:B9"/>
    <mergeCell ref="B10:B11"/>
    <mergeCell ref="A65:F65"/>
    <mergeCell ref="B12:B13"/>
    <mergeCell ref="B14:B15"/>
    <mergeCell ref="B16:B17"/>
    <mergeCell ref="B32:B33"/>
    <mergeCell ref="B34:B35"/>
    <mergeCell ref="B36:B37"/>
    <mergeCell ref="B54:B55"/>
    <mergeCell ref="B56:B57"/>
    <mergeCell ref="B58:B59"/>
    <mergeCell ref="B60:B61"/>
    <mergeCell ref="B62:B63"/>
    <mergeCell ref="B42:B43"/>
    <mergeCell ref="B44:B45"/>
    <mergeCell ref="B46:B47"/>
    <mergeCell ref="B48:B49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9EA93-C121-4A65-9137-8164611CB6A8}">
  <dimension ref="A1:L35"/>
  <sheetViews>
    <sheetView topLeftCell="C1" workbookViewId="0">
      <selection activeCell="G17" sqref="G17"/>
    </sheetView>
  </sheetViews>
  <sheetFormatPr defaultRowHeight="14.25" x14ac:dyDescent="0.45"/>
  <cols>
    <col min="1" max="1" width="9.06640625" style="3"/>
    <col min="3" max="3" width="14.53125" style="48" customWidth="1"/>
    <col min="4" max="4" width="4.6640625" style="48" customWidth="1"/>
  </cols>
  <sheetData>
    <row r="1" spans="1:12" x14ac:dyDescent="0.45">
      <c r="A1" s="21" t="s">
        <v>414</v>
      </c>
      <c r="B1" s="18" t="s">
        <v>415</v>
      </c>
      <c r="C1" s="50" t="s">
        <v>533</v>
      </c>
      <c r="D1" s="53" t="s">
        <v>0</v>
      </c>
      <c r="E1" s="51" t="s">
        <v>415</v>
      </c>
      <c r="F1" s="52" t="s">
        <v>276</v>
      </c>
      <c r="G1" s="52" t="s">
        <v>277</v>
      </c>
      <c r="H1" s="52" t="s">
        <v>278</v>
      </c>
      <c r="I1" s="52" t="s">
        <v>279</v>
      </c>
      <c r="J1" s="52" t="s">
        <v>280</v>
      </c>
      <c r="K1" s="52" t="s">
        <v>281</v>
      </c>
      <c r="L1" s="52" t="s">
        <v>282</v>
      </c>
    </row>
    <row r="2" spans="1:12" x14ac:dyDescent="0.45">
      <c r="A2" s="111" t="s">
        <v>276</v>
      </c>
      <c r="B2" s="23" t="s">
        <v>22</v>
      </c>
      <c r="C2" s="114" t="s">
        <v>416</v>
      </c>
      <c r="D2" s="118">
        <v>264</v>
      </c>
      <c r="E2" s="41" t="s">
        <v>22</v>
      </c>
      <c r="F2" s="23" t="s">
        <v>58</v>
      </c>
      <c r="G2" s="23" t="s">
        <v>140</v>
      </c>
      <c r="H2" s="23" t="s">
        <v>124</v>
      </c>
      <c r="I2" s="23" t="s">
        <v>75</v>
      </c>
      <c r="J2" s="23" t="s">
        <v>358</v>
      </c>
      <c r="K2" s="23" t="s">
        <v>365</v>
      </c>
      <c r="L2" s="23" t="s">
        <v>406</v>
      </c>
    </row>
    <row r="3" spans="1:12" x14ac:dyDescent="0.45">
      <c r="A3" s="113"/>
      <c r="B3" s="24" t="s">
        <v>26</v>
      </c>
      <c r="C3" s="115"/>
      <c r="D3" s="119"/>
      <c r="E3" s="42" t="s">
        <v>26</v>
      </c>
      <c r="F3" s="24" t="s">
        <v>421</v>
      </c>
      <c r="G3" s="24" t="s">
        <v>423</v>
      </c>
      <c r="H3" s="25">
        <v>1146</v>
      </c>
      <c r="I3" s="25">
        <v>1173</v>
      </c>
      <c r="J3" s="25">
        <v>1172</v>
      </c>
      <c r="K3" s="25">
        <v>1217</v>
      </c>
      <c r="L3" s="25">
        <v>1148</v>
      </c>
    </row>
    <row r="4" spans="1:12" x14ac:dyDescent="0.45">
      <c r="A4" s="111" t="s">
        <v>277</v>
      </c>
      <c r="B4" s="23" t="s">
        <v>22</v>
      </c>
      <c r="C4" s="116" t="s">
        <v>417</v>
      </c>
      <c r="D4" s="118">
        <v>30</v>
      </c>
      <c r="E4" t="s">
        <v>22</v>
      </c>
      <c r="F4" s="17" t="s">
        <v>236</v>
      </c>
      <c r="G4" s="17" t="s">
        <v>164</v>
      </c>
      <c r="H4" s="17" t="s">
        <v>91</v>
      </c>
      <c r="I4" s="17" t="s">
        <v>83</v>
      </c>
      <c r="J4" s="17" t="s">
        <v>147</v>
      </c>
      <c r="K4" s="17" t="s">
        <v>343</v>
      </c>
      <c r="L4" s="17" t="s">
        <v>311</v>
      </c>
    </row>
    <row r="5" spans="1:12" x14ac:dyDescent="0.45">
      <c r="A5" s="113"/>
      <c r="B5" s="24" t="s">
        <v>26</v>
      </c>
      <c r="C5" s="116"/>
      <c r="D5" s="119"/>
      <c r="E5" t="s">
        <v>26</v>
      </c>
      <c r="F5" s="17" t="s">
        <v>422</v>
      </c>
      <c r="G5" s="19">
        <v>1098</v>
      </c>
      <c r="H5" s="19">
        <v>1143</v>
      </c>
      <c r="I5" s="19">
        <v>1295</v>
      </c>
      <c r="J5" s="19">
        <v>1163</v>
      </c>
      <c r="K5" s="19">
        <v>1230</v>
      </c>
      <c r="L5" s="19">
        <v>1143</v>
      </c>
    </row>
    <row r="6" spans="1:12" x14ac:dyDescent="0.45">
      <c r="A6" s="112" t="s">
        <v>278</v>
      </c>
      <c r="B6" s="17" t="s">
        <v>22</v>
      </c>
      <c r="C6" s="114" t="s">
        <v>418</v>
      </c>
      <c r="D6" s="118">
        <v>97</v>
      </c>
      <c r="E6" s="41" t="s">
        <v>22</v>
      </c>
      <c r="F6" s="23" t="s">
        <v>283</v>
      </c>
      <c r="G6" s="23" t="s">
        <v>342</v>
      </c>
      <c r="H6" s="23" t="s">
        <v>311</v>
      </c>
      <c r="I6" s="23" t="s">
        <v>283</v>
      </c>
      <c r="J6" s="23" t="s">
        <v>56</v>
      </c>
      <c r="K6" s="23" t="s">
        <v>427</v>
      </c>
      <c r="L6" s="23" t="s">
        <v>360</v>
      </c>
    </row>
    <row r="7" spans="1:12" x14ac:dyDescent="0.45">
      <c r="A7" s="112"/>
      <c r="B7" s="17" t="s">
        <v>26</v>
      </c>
      <c r="C7" s="115"/>
      <c r="D7" s="119"/>
      <c r="E7" s="42" t="s">
        <v>26</v>
      </c>
      <c r="F7" s="25">
        <v>1023</v>
      </c>
      <c r="G7" s="24" t="s">
        <v>424</v>
      </c>
      <c r="H7" s="25">
        <v>1046</v>
      </c>
      <c r="I7" s="25">
        <v>1157</v>
      </c>
      <c r="J7" s="25">
        <v>1116</v>
      </c>
      <c r="K7" s="25">
        <v>1188</v>
      </c>
      <c r="L7" s="25">
        <v>1224</v>
      </c>
    </row>
    <row r="8" spans="1:12" x14ac:dyDescent="0.45">
      <c r="A8" s="111" t="s">
        <v>279</v>
      </c>
      <c r="B8" s="23" t="s">
        <v>22</v>
      </c>
      <c r="C8" s="116" t="s">
        <v>419</v>
      </c>
      <c r="D8" s="118">
        <v>30</v>
      </c>
      <c r="E8" t="s">
        <v>22</v>
      </c>
      <c r="F8" s="17" t="s">
        <v>300</v>
      </c>
      <c r="G8" s="17" t="s">
        <v>91</v>
      </c>
      <c r="H8" s="17" t="s">
        <v>47</v>
      </c>
      <c r="I8" s="17" t="s">
        <v>45</v>
      </c>
      <c r="J8" s="17" t="s">
        <v>426</v>
      </c>
      <c r="K8" s="17" t="s">
        <v>428</v>
      </c>
      <c r="L8" s="17" t="s">
        <v>430</v>
      </c>
    </row>
    <row r="9" spans="1:12" x14ac:dyDescent="0.45">
      <c r="A9" s="113"/>
      <c r="B9" s="24" t="s">
        <v>26</v>
      </c>
      <c r="C9" s="116"/>
      <c r="D9" s="119"/>
      <c r="E9" t="s">
        <v>26</v>
      </c>
      <c r="F9" s="19">
        <v>1213</v>
      </c>
      <c r="G9" s="19">
        <v>1337</v>
      </c>
      <c r="H9" s="19">
        <v>1489</v>
      </c>
      <c r="I9" s="19">
        <v>1224</v>
      </c>
      <c r="J9" s="19">
        <v>1562</v>
      </c>
      <c r="K9" s="19">
        <v>1383</v>
      </c>
      <c r="L9" s="19">
        <v>1278</v>
      </c>
    </row>
    <row r="10" spans="1:12" x14ac:dyDescent="0.45">
      <c r="A10" s="112" t="s">
        <v>280</v>
      </c>
      <c r="B10" s="17" t="s">
        <v>22</v>
      </c>
      <c r="C10" s="114" t="s">
        <v>420</v>
      </c>
      <c r="D10" s="118">
        <v>98</v>
      </c>
      <c r="E10" s="41" t="s">
        <v>22</v>
      </c>
      <c r="F10" s="23" t="s">
        <v>91</v>
      </c>
      <c r="G10" s="23" t="s">
        <v>2</v>
      </c>
      <c r="H10" s="23" t="s">
        <v>67</v>
      </c>
      <c r="I10" s="23" t="s">
        <v>318</v>
      </c>
      <c r="J10" s="23" t="s">
        <v>285</v>
      </c>
      <c r="K10" s="23" t="s">
        <v>429</v>
      </c>
      <c r="L10" s="23" t="s">
        <v>123</v>
      </c>
    </row>
    <row r="11" spans="1:12" ht="14.65" thickBot="1" x14ac:dyDescent="0.5">
      <c r="A11" s="112"/>
      <c r="B11" s="17" t="s">
        <v>26</v>
      </c>
      <c r="C11" s="117"/>
      <c r="D11" s="120"/>
      <c r="E11" s="43" t="s">
        <v>26</v>
      </c>
      <c r="F11" s="26" t="s">
        <v>320</v>
      </c>
      <c r="G11" s="26" t="s">
        <v>425</v>
      </c>
      <c r="H11" s="27">
        <v>1052</v>
      </c>
      <c r="I11" s="27">
        <v>1087</v>
      </c>
      <c r="J11" s="27">
        <v>1010</v>
      </c>
      <c r="K11" s="27">
        <v>1214</v>
      </c>
      <c r="L11" s="27">
        <v>1149</v>
      </c>
    </row>
    <row r="12" spans="1:12" x14ac:dyDescent="0.45">
      <c r="A12" s="111" t="s">
        <v>281</v>
      </c>
      <c r="B12" s="23" t="s">
        <v>22</v>
      </c>
    </row>
    <row r="13" spans="1:12" x14ac:dyDescent="0.45">
      <c r="A13" s="113"/>
      <c r="B13" s="24" t="s">
        <v>26</v>
      </c>
    </row>
    <row r="14" spans="1:12" ht="14.65" thickBot="1" x14ac:dyDescent="0.5">
      <c r="A14" s="111" t="s">
        <v>282</v>
      </c>
      <c r="B14" s="23" t="s">
        <v>22</v>
      </c>
      <c r="C14" s="50" t="s">
        <v>533</v>
      </c>
      <c r="D14" s="55" t="s">
        <v>0</v>
      </c>
      <c r="E14" s="49" t="s">
        <v>415</v>
      </c>
      <c r="F14" s="46" t="s">
        <v>16</v>
      </c>
      <c r="G14" s="46" t="s">
        <v>17</v>
      </c>
      <c r="H14" s="46" t="s">
        <v>18</v>
      </c>
      <c r="I14" s="46" t="s">
        <v>19</v>
      </c>
      <c r="J14" s="46" t="s">
        <v>20</v>
      </c>
      <c r="K14" s="46" t="s">
        <v>21</v>
      </c>
    </row>
    <row r="15" spans="1:12" ht="14.65" thickBot="1" x14ac:dyDescent="0.5">
      <c r="A15" s="110"/>
      <c r="B15" s="26" t="s">
        <v>26</v>
      </c>
      <c r="C15" s="114" t="s">
        <v>416</v>
      </c>
      <c r="D15" s="121">
        <v>264</v>
      </c>
      <c r="E15" s="44" t="s">
        <v>22</v>
      </c>
      <c r="F15" s="17" t="s">
        <v>54</v>
      </c>
      <c r="G15" s="17" t="s">
        <v>164</v>
      </c>
      <c r="H15" s="17" t="s">
        <v>148</v>
      </c>
      <c r="I15" s="17" t="s">
        <v>75</v>
      </c>
      <c r="J15" s="17" t="s">
        <v>97</v>
      </c>
      <c r="K15" s="17" t="s">
        <v>340</v>
      </c>
    </row>
    <row r="16" spans="1:12" x14ac:dyDescent="0.45">
      <c r="C16" s="115"/>
      <c r="D16" s="119"/>
      <c r="E16" s="44" t="s">
        <v>26</v>
      </c>
      <c r="F16" s="17" t="s">
        <v>431</v>
      </c>
      <c r="G16" s="17" t="s">
        <v>438</v>
      </c>
      <c r="H16" s="17" t="s">
        <v>434</v>
      </c>
      <c r="I16" s="17" t="s">
        <v>403</v>
      </c>
      <c r="J16" s="17" t="s">
        <v>312</v>
      </c>
      <c r="K16" s="17" t="s">
        <v>432</v>
      </c>
    </row>
    <row r="17" spans="1:11" x14ac:dyDescent="0.45">
      <c r="A17" s="29" t="s">
        <v>399</v>
      </c>
      <c r="B17" s="30" t="s">
        <v>415</v>
      </c>
      <c r="C17" s="116" t="s">
        <v>417</v>
      </c>
      <c r="D17" s="118">
        <v>30</v>
      </c>
      <c r="E17" s="41" t="s">
        <v>22</v>
      </c>
      <c r="F17" s="23" t="s">
        <v>75</v>
      </c>
      <c r="G17" s="23" t="s">
        <v>75</v>
      </c>
      <c r="H17" s="23" t="s">
        <v>23</v>
      </c>
      <c r="I17" s="23" t="s">
        <v>56</v>
      </c>
      <c r="J17" s="23" t="s">
        <v>97</v>
      </c>
      <c r="K17" s="23" t="s">
        <v>56</v>
      </c>
    </row>
    <row r="18" spans="1:11" x14ac:dyDescent="0.45">
      <c r="A18" s="112" t="s">
        <v>16</v>
      </c>
      <c r="B18" s="17" t="s">
        <v>22</v>
      </c>
      <c r="C18" s="116"/>
      <c r="D18" s="119"/>
      <c r="E18" s="42" t="s">
        <v>26</v>
      </c>
      <c r="F18" s="24" t="s">
        <v>432</v>
      </c>
      <c r="G18" s="24" t="s">
        <v>439</v>
      </c>
      <c r="H18" s="24" t="s">
        <v>435</v>
      </c>
      <c r="I18" s="24" t="s">
        <v>442</v>
      </c>
      <c r="J18" s="24" t="s">
        <v>445</v>
      </c>
      <c r="K18" s="24" t="s">
        <v>447</v>
      </c>
    </row>
    <row r="19" spans="1:11" x14ac:dyDescent="0.45">
      <c r="A19" s="112"/>
      <c r="B19" s="17" t="s">
        <v>26</v>
      </c>
      <c r="C19" s="114" t="s">
        <v>418</v>
      </c>
      <c r="D19" s="118">
        <v>97</v>
      </c>
      <c r="E19" s="41" t="s">
        <v>22</v>
      </c>
      <c r="F19" s="23" t="s">
        <v>124</v>
      </c>
      <c r="G19" s="23" t="s">
        <v>57</v>
      </c>
      <c r="H19" s="23" t="s">
        <v>318</v>
      </c>
      <c r="I19" s="23" t="s">
        <v>97</v>
      </c>
      <c r="J19" s="23" t="s">
        <v>67</v>
      </c>
      <c r="K19" s="23" t="s">
        <v>160</v>
      </c>
    </row>
    <row r="20" spans="1:11" x14ac:dyDescent="0.45">
      <c r="A20" s="111" t="s">
        <v>17</v>
      </c>
      <c r="B20" s="23" t="s">
        <v>22</v>
      </c>
      <c r="C20" s="115"/>
      <c r="D20" s="119"/>
      <c r="E20" s="42" t="s">
        <v>26</v>
      </c>
      <c r="F20" s="24" t="s">
        <v>49</v>
      </c>
      <c r="G20" s="24" t="s">
        <v>440</v>
      </c>
      <c r="H20" s="24" t="s">
        <v>436</v>
      </c>
      <c r="I20" s="24" t="s">
        <v>443</v>
      </c>
      <c r="J20" s="24" t="s">
        <v>446</v>
      </c>
      <c r="K20" s="24" t="s">
        <v>448</v>
      </c>
    </row>
    <row r="21" spans="1:11" x14ac:dyDescent="0.45">
      <c r="A21" s="113"/>
      <c r="B21" s="24" t="s">
        <v>26</v>
      </c>
      <c r="C21" s="116" t="s">
        <v>419</v>
      </c>
      <c r="D21" s="118">
        <v>30</v>
      </c>
      <c r="E21" t="s">
        <v>22</v>
      </c>
      <c r="F21" s="17" t="s">
        <v>236</v>
      </c>
      <c r="G21" s="17" t="s">
        <v>212</v>
      </c>
      <c r="H21" s="17" t="s">
        <v>7</v>
      </c>
      <c r="I21" s="17" t="s">
        <v>236</v>
      </c>
      <c r="J21" s="17" t="s">
        <v>68</v>
      </c>
      <c r="K21" s="17" t="s">
        <v>132</v>
      </c>
    </row>
    <row r="22" spans="1:11" x14ac:dyDescent="0.45">
      <c r="A22" s="112" t="s">
        <v>18</v>
      </c>
      <c r="B22" s="17" t="s">
        <v>22</v>
      </c>
      <c r="C22" s="116"/>
      <c r="D22" s="119"/>
      <c r="E22" t="s">
        <v>26</v>
      </c>
      <c r="F22" s="19">
        <v>1098</v>
      </c>
      <c r="G22" s="19">
        <v>1027</v>
      </c>
      <c r="H22" s="19">
        <v>1072</v>
      </c>
      <c r="I22" s="19">
        <v>1042</v>
      </c>
      <c r="J22" s="19">
        <v>1013</v>
      </c>
      <c r="K22" s="19">
        <v>1165</v>
      </c>
    </row>
    <row r="23" spans="1:11" x14ac:dyDescent="0.45">
      <c r="A23" s="112"/>
      <c r="B23" s="17" t="s">
        <v>26</v>
      </c>
      <c r="C23" s="114" t="s">
        <v>420</v>
      </c>
      <c r="D23" s="118">
        <v>98</v>
      </c>
      <c r="E23" s="41" t="s">
        <v>22</v>
      </c>
      <c r="F23" s="23" t="s">
        <v>205</v>
      </c>
      <c r="G23" s="23" t="s">
        <v>4</v>
      </c>
      <c r="H23" s="23" t="s">
        <v>67</v>
      </c>
      <c r="I23" s="23" t="s">
        <v>318</v>
      </c>
      <c r="J23" s="23" t="s">
        <v>285</v>
      </c>
      <c r="K23" s="23" t="s">
        <v>3</v>
      </c>
    </row>
    <row r="24" spans="1:11" ht="14.65" thickBot="1" x14ac:dyDescent="0.5">
      <c r="A24" s="111" t="s">
        <v>19</v>
      </c>
      <c r="B24" s="23" t="s">
        <v>22</v>
      </c>
      <c r="C24" s="117"/>
      <c r="D24" s="120"/>
      <c r="E24" s="43" t="s">
        <v>26</v>
      </c>
      <c r="F24" s="26" t="s">
        <v>433</v>
      </c>
      <c r="G24" s="26" t="s">
        <v>441</v>
      </c>
      <c r="H24" s="26" t="s">
        <v>437</v>
      </c>
      <c r="I24" s="26" t="s">
        <v>444</v>
      </c>
      <c r="J24" s="26" t="s">
        <v>170</v>
      </c>
      <c r="K24" s="26" t="s">
        <v>449</v>
      </c>
    </row>
    <row r="25" spans="1:11" x14ac:dyDescent="0.45">
      <c r="A25" s="113"/>
      <c r="B25" s="24" t="s">
        <v>26</v>
      </c>
    </row>
    <row r="26" spans="1:11" x14ac:dyDescent="0.45">
      <c r="A26" s="111" t="s">
        <v>20</v>
      </c>
      <c r="B26" s="23" t="s">
        <v>22</v>
      </c>
    </row>
    <row r="27" spans="1:11" x14ac:dyDescent="0.45">
      <c r="A27" s="113"/>
      <c r="B27" s="24" t="s">
        <v>26</v>
      </c>
    </row>
    <row r="28" spans="1:11" x14ac:dyDescent="0.45">
      <c r="A28" s="109" t="s">
        <v>21</v>
      </c>
      <c r="B28" s="28" t="s">
        <v>22</v>
      </c>
    </row>
    <row r="29" spans="1:11" ht="14.65" thickBot="1" x14ac:dyDescent="0.5">
      <c r="A29" s="110"/>
      <c r="B29" s="26" t="s">
        <v>26</v>
      </c>
    </row>
    <row r="35" spans="5:10" x14ac:dyDescent="0.45">
      <c r="E35" s="47"/>
      <c r="F35" s="47"/>
      <c r="G35" s="47"/>
      <c r="H35" s="47"/>
      <c r="I35" s="47"/>
      <c r="J35" s="47"/>
    </row>
  </sheetData>
  <mergeCells count="33">
    <mergeCell ref="C21:C22"/>
    <mergeCell ref="D21:D22"/>
    <mergeCell ref="C23:C24"/>
    <mergeCell ref="D23:D24"/>
    <mergeCell ref="C15:C16"/>
    <mergeCell ref="D15:D16"/>
    <mergeCell ref="C17:C18"/>
    <mergeCell ref="D17:D18"/>
    <mergeCell ref="C19:C20"/>
    <mergeCell ref="D19:D20"/>
    <mergeCell ref="D2:D3"/>
    <mergeCell ref="D4:D5"/>
    <mergeCell ref="D6:D7"/>
    <mergeCell ref="D8:D9"/>
    <mergeCell ref="D10:D11"/>
    <mergeCell ref="A12:A13"/>
    <mergeCell ref="C2:C3"/>
    <mergeCell ref="C4:C5"/>
    <mergeCell ref="C6:C7"/>
    <mergeCell ref="C8:C9"/>
    <mergeCell ref="C10:C11"/>
    <mergeCell ref="A2:A3"/>
    <mergeCell ref="A4:A5"/>
    <mergeCell ref="A6:A7"/>
    <mergeCell ref="A8:A9"/>
    <mergeCell ref="A10:A11"/>
    <mergeCell ref="A28:A29"/>
    <mergeCell ref="A14:A15"/>
    <mergeCell ref="A18:A19"/>
    <mergeCell ref="A20:A21"/>
    <mergeCell ref="A22:A23"/>
    <mergeCell ref="A24:A25"/>
    <mergeCell ref="A26:A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A5F3E-DAE7-4BCB-B546-0070A4A0E21A}">
  <dimension ref="A1:J11"/>
  <sheetViews>
    <sheetView workbookViewId="0">
      <selection activeCell="D20" sqref="D20"/>
    </sheetView>
  </sheetViews>
  <sheetFormatPr defaultRowHeight="14.25" x14ac:dyDescent="0.45"/>
  <cols>
    <col min="1" max="1" width="9.86328125" style="3" bestFit="1" customWidth="1"/>
    <col min="2" max="2" width="4.53125" style="3" customWidth="1"/>
    <col min="3" max="3" width="7.265625" style="3" bestFit="1" customWidth="1"/>
    <col min="4" max="10" width="9.06640625" style="20"/>
  </cols>
  <sheetData>
    <row r="1" spans="1:10" ht="14.65" thickBot="1" x14ac:dyDescent="0.5">
      <c r="A1" s="57" t="s">
        <v>543</v>
      </c>
      <c r="B1" s="58" t="s">
        <v>0</v>
      </c>
      <c r="C1" s="57" t="s">
        <v>415</v>
      </c>
      <c r="D1" s="45" t="s">
        <v>276</v>
      </c>
      <c r="E1" s="45" t="s">
        <v>277</v>
      </c>
      <c r="F1" s="45" t="s">
        <v>278</v>
      </c>
      <c r="G1" s="45" t="s">
        <v>279</v>
      </c>
      <c r="H1" s="45" t="s">
        <v>280</v>
      </c>
      <c r="I1" s="45" t="s">
        <v>281</v>
      </c>
      <c r="J1" s="45" t="s">
        <v>282</v>
      </c>
    </row>
    <row r="2" spans="1:10" x14ac:dyDescent="0.45">
      <c r="A2" s="111" t="s">
        <v>411</v>
      </c>
      <c r="B2" s="111">
        <v>494</v>
      </c>
      <c r="C2" s="59" t="s">
        <v>22</v>
      </c>
      <c r="D2" s="22" t="s">
        <v>205</v>
      </c>
      <c r="E2" s="22" t="s">
        <v>2</v>
      </c>
      <c r="F2" s="22" t="s">
        <v>1</v>
      </c>
      <c r="G2" s="22" t="s">
        <v>4</v>
      </c>
      <c r="H2" s="22" t="s">
        <v>24</v>
      </c>
      <c r="I2" s="22" t="s">
        <v>6</v>
      </c>
      <c r="J2" s="22" t="s">
        <v>123</v>
      </c>
    </row>
    <row r="3" spans="1:10" x14ac:dyDescent="0.45">
      <c r="A3" s="109"/>
      <c r="B3" s="109"/>
      <c r="C3" s="93" t="s">
        <v>26</v>
      </c>
      <c r="D3" s="88" t="s">
        <v>454</v>
      </c>
      <c r="E3" s="88" t="s">
        <v>456</v>
      </c>
      <c r="F3" s="88" t="s">
        <v>111</v>
      </c>
      <c r="G3" s="88" t="s">
        <v>120</v>
      </c>
      <c r="H3" s="88" t="s">
        <v>11</v>
      </c>
      <c r="I3" s="88" t="s">
        <v>13</v>
      </c>
      <c r="J3" s="88" t="s">
        <v>14</v>
      </c>
    </row>
    <row r="4" spans="1:10" x14ac:dyDescent="0.45">
      <c r="A4" s="111" t="s">
        <v>410</v>
      </c>
      <c r="B4" s="111">
        <v>25</v>
      </c>
      <c r="C4" s="91" t="s">
        <v>22</v>
      </c>
      <c r="D4" s="90" t="s">
        <v>8</v>
      </c>
      <c r="E4" s="90" t="s">
        <v>457</v>
      </c>
      <c r="F4" s="90" t="s">
        <v>458</v>
      </c>
      <c r="G4" s="90" t="s">
        <v>5</v>
      </c>
      <c r="H4" s="90" t="s">
        <v>67</v>
      </c>
      <c r="I4" s="90" t="s">
        <v>459</v>
      </c>
      <c r="J4" s="90" t="s">
        <v>10</v>
      </c>
    </row>
    <row r="5" spans="1:10" ht="14.65" thickBot="1" x14ac:dyDescent="0.5">
      <c r="A5" s="110"/>
      <c r="B5" s="110"/>
      <c r="C5" s="92" t="s">
        <v>26</v>
      </c>
      <c r="D5" s="89" t="s">
        <v>38</v>
      </c>
      <c r="E5" s="89" t="s">
        <v>11</v>
      </c>
      <c r="F5" s="89" t="s">
        <v>368</v>
      </c>
      <c r="G5" s="89" t="s">
        <v>295</v>
      </c>
      <c r="H5" s="89" t="s">
        <v>460</v>
      </c>
      <c r="I5" s="89" t="s">
        <v>353</v>
      </c>
      <c r="J5" s="89" t="s">
        <v>451</v>
      </c>
    </row>
    <row r="7" spans="1:10" ht="14.65" thickBot="1" x14ac:dyDescent="0.5">
      <c r="A7" s="57" t="s">
        <v>543</v>
      </c>
      <c r="B7" s="58" t="s">
        <v>0</v>
      </c>
      <c r="C7" s="57" t="s">
        <v>415</v>
      </c>
      <c r="D7" s="45" t="s">
        <v>16</v>
      </c>
      <c r="E7" s="45" t="s">
        <v>17</v>
      </c>
      <c r="F7" s="45" t="s">
        <v>18</v>
      </c>
      <c r="G7" s="45" t="s">
        <v>19</v>
      </c>
      <c r="H7" s="45" t="s">
        <v>20</v>
      </c>
      <c r="I7" s="45" t="s">
        <v>21</v>
      </c>
    </row>
    <row r="8" spans="1:10" x14ac:dyDescent="0.45">
      <c r="A8" s="111" t="s">
        <v>411</v>
      </c>
      <c r="B8" s="111">
        <v>494</v>
      </c>
      <c r="C8" s="59" t="s">
        <v>22</v>
      </c>
      <c r="D8" s="22" t="s">
        <v>24</v>
      </c>
      <c r="E8" s="22" t="s">
        <v>75</v>
      </c>
      <c r="F8" s="22" t="s">
        <v>124</v>
      </c>
      <c r="G8" s="22" t="s">
        <v>148</v>
      </c>
      <c r="H8" s="22" t="s">
        <v>67</v>
      </c>
      <c r="I8" s="22" t="s">
        <v>124</v>
      </c>
    </row>
    <row r="9" spans="1:10" x14ac:dyDescent="0.45">
      <c r="A9" s="109"/>
      <c r="B9" s="109"/>
      <c r="C9" s="93" t="s">
        <v>26</v>
      </c>
      <c r="D9" s="88" t="s">
        <v>401</v>
      </c>
      <c r="E9" s="88" t="s">
        <v>404</v>
      </c>
      <c r="F9" s="88" t="s">
        <v>403</v>
      </c>
      <c r="G9" s="88" t="s">
        <v>62</v>
      </c>
      <c r="H9" s="88" t="s">
        <v>176</v>
      </c>
      <c r="I9" s="88" t="s">
        <v>408</v>
      </c>
    </row>
    <row r="10" spans="1:10" x14ac:dyDescent="0.45">
      <c r="A10" s="111" t="s">
        <v>410</v>
      </c>
      <c r="B10" s="111">
        <v>25</v>
      </c>
      <c r="C10" s="91" t="s">
        <v>22</v>
      </c>
      <c r="D10" s="90" t="s">
        <v>8</v>
      </c>
      <c r="E10" s="90" t="s">
        <v>311</v>
      </c>
      <c r="F10" s="90" t="s">
        <v>300</v>
      </c>
      <c r="G10" s="90" t="s">
        <v>236</v>
      </c>
      <c r="H10" s="90" t="s">
        <v>406</v>
      </c>
      <c r="I10" s="90" t="s">
        <v>406</v>
      </c>
    </row>
    <row r="11" spans="1:10" ht="14.65" thickBot="1" x14ac:dyDescent="0.5">
      <c r="A11" s="110"/>
      <c r="B11" s="110"/>
      <c r="C11" s="92" t="s">
        <v>26</v>
      </c>
      <c r="D11" s="89" t="s">
        <v>400</v>
      </c>
      <c r="E11" s="89" t="s">
        <v>383</v>
      </c>
      <c r="F11" s="89" t="s">
        <v>402</v>
      </c>
      <c r="G11" s="89" t="s">
        <v>405</v>
      </c>
      <c r="H11" s="89" t="s">
        <v>407</v>
      </c>
      <c r="I11" s="95">
        <v>1011</v>
      </c>
    </row>
  </sheetData>
  <mergeCells count="8">
    <mergeCell ref="A2:A3"/>
    <mergeCell ref="B2:B3"/>
    <mergeCell ref="B10:B11"/>
    <mergeCell ref="A4:A5"/>
    <mergeCell ref="B4:B5"/>
    <mergeCell ref="B8:B9"/>
    <mergeCell ref="A10:A11"/>
    <mergeCell ref="A8:A9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6DAA1-C672-4D20-BDA6-4F2BA12473DC}">
  <dimension ref="A1:J19"/>
  <sheetViews>
    <sheetView workbookViewId="0">
      <selection activeCell="E16" sqref="E16"/>
    </sheetView>
  </sheetViews>
  <sheetFormatPr defaultRowHeight="14.25" x14ac:dyDescent="0.45"/>
  <cols>
    <col min="1" max="1" width="6.6640625" style="3" bestFit="1" customWidth="1"/>
    <col min="2" max="2" width="7.06640625" style="20" customWidth="1"/>
    <col min="3" max="3" width="7.265625" style="62" bestFit="1" customWidth="1"/>
    <col min="4" max="10" width="9.06640625" style="20"/>
  </cols>
  <sheetData>
    <row r="1" spans="1:10" ht="14.65" thickBot="1" x14ac:dyDescent="0.5">
      <c r="A1" s="57" t="s">
        <v>544</v>
      </c>
      <c r="B1" s="45" t="s">
        <v>0</v>
      </c>
      <c r="C1" s="64" t="s">
        <v>415</v>
      </c>
      <c r="D1" s="45" t="s">
        <v>276</v>
      </c>
      <c r="E1" s="45" t="s">
        <v>277</v>
      </c>
      <c r="F1" s="45" t="s">
        <v>278</v>
      </c>
      <c r="G1" s="45" t="s">
        <v>279</v>
      </c>
      <c r="H1" s="45" t="s">
        <v>280</v>
      </c>
      <c r="I1" s="45" t="s">
        <v>281</v>
      </c>
      <c r="J1" s="45" t="s">
        <v>282</v>
      </c>
    </row>
    <row r="2" spans="1:10" x14ac:dyDescent="0.45">
      <c r="A2" s="122" t="s">
        <v>413</v>
      </c>
      <c r="B2" s="22">
        <v>317</v>
      </c>
      <c r="C2" s="65" t="s">
        <v>22</v>
      </c>
      <c r="D2" s="66" t="s">
        <v>318</v>
      </c>
      <c r="E2" s="66" t="s">
        <v>342</v>
      </c>
      <c r="F2" s="66" t="s">
        <v>97</v>
      </c>
      <c r="G2" s="66" t="s">
        <v>107</v>
      </c>
      <c r="H2" s="66" t="s">
        <v>24</v>
      </c>
      <c r="I2" s="66" t="s">
        <v>6</v>
      </c>
      <c r="J2" s="66" t="s">
        <v>343</v>
      </c>
    </row>
    <row r="3" spans="1:10" x14ac:dyDescent="0.45">
      <c r="A3" s="123"/>
      <c r="B3" s="88"/>
      <c r="C3" s="68" t="s">
        <v>26</v>
      </c>
      <c r="D3" s="96" t="s">
        <v>452</v>
      </c>
      <c r="E3" s="96" t="s">
        <v>114</v>
      </c>
      <c r="F3" s="96" t="s">
        <v>120</v>
      </c>
      <c r="G3" s="96" t="s">
        <v>314</v>
      </c>
      <c r="H3" s="96" t="s">
        <v>314</v>
      </c>
      <c r="I3" s="96" t="s">
        <v>69</v>
      </c>
      <c r="J3" s="96" t="s">
        <v>13</v>
      </c>
    </row>
    <row r="4" spans="1:10" x14ac:dyDescent="0.45">
      <c r="A4" s="122" t="s">
        <v>412</v>
      </c>
      <c r="B4" s="90">
        <v>202</v>
      </c>
      <c r="C4" s="65" t="s">
        <v>22</v>
      </c>
      <c r="D4" s="90">
        <v>3.19</v>
      </c>
      <c r="E4" s="90" t="s">
        <v>453</v>
      </c>
      <c r="F4" s="90" t="s">
        <v>340</v>
      </c>
      <c r="G4" s="90" t="s">
        <v>318</v>
      </c>
      <c r="H4" s="90" t="s">
        <v>4</v>
      </c>
      <c r="I4" s="90" t="s">
        <v>118</v>
      </c>
      <c r="J4" s="90" t="s">
        <v>74</v>
      </c>
    </row>
    <row r="5" spans="1:10" ht="14.65" thickBot="1" x14ac:dyDescent="0.5">
      <c r="A5" s="124"/>
      <c r="B5" s="89"/>
      <c r="C5" s="67" t="s">
        <v>26</v>
      </c>
      <c r="D5" s="89" t="s">
        <v>454</v>
      </c>
      <c r="E5" s="89" t="s">
        <v>455</v>
      </c>
      <c r="F5" s="89" t="s">
        <v>200</v>
      </c>
      <c r="G5" s="89" t="s">
        <v>111</v>
      </c>
      <c r="H5" s="89" t="s">
        <v>38</v>
      </c>
      <c r="I5" s="89" t="s">
        <v>12</v>
      </c>
      <c r="J5" s="89" t="s">
        <v>111</v>
      </c>
    </row>
    <row r="7" spans="1:10" ht="14.65" thickBot="1" x14ac:dyDescent="0.5">
      <c r="A7" s="57" t="s">
        <v>544</v>
      </c>
      <c r="B7" s="45" t="s">
        <v>0</v>
      </c>
      <c r="C7" s="64" t="s">
        <v>415</v>
      </c>
      <c r="D7" s="45" t="s">
        <v>16</v>
      </c>
      <c r="E7" s="45" t="s">
        <v>17</v>
      </c>
      <c r="F7" s="45" t="s">
        <v>18</v>
      </c>
      <c r="G7" s="45" t="s">
        <v>19</v>
      </c>
      <c r="H7" s="45" t="s">
        <v>20</v>
      </c>
      <c r="I7" s="45" t="s">
        <v>21</v>
      </c>
    </row>
    <row r="8" spans="1:10" x14ac:dyDescent="0.45">
      <c r="A8" s="122" t="s">
        <v>413</v>
      </c>
      <c r="B8" s="22">
        <v>317</v>
      </c>
      <c r="C8" s="65" t="s">
        <v>22</v>
      </c>
      <c r="D8" s="22" t="s">
        <v>75</v>
      </c>
      <c r="E8" s="22" t="s">
        <v>358</v>
      </c>
      <c r="F8" s="22" t="s">
        <v>57</v>
      </c>
      <c r="G8" s="22" t="s">
        <v>24</v>
      </c>
      <c r="H8" s="22" t="s">
        <v>100</v>
      </c>
      <c r="I8" s="22" t="s">
        <v>1</v>
      </c>
    </row>
    <row r="9" spans="1:10" x14ac:dyDescent="0.45">
      <c r="A9" s="123"/>
      <c r="B9" s="88"/>
      <c r="C9" s="68" t="s">
        <v>26</v>
      </c>
      <c r="D9" s="88" t="s">
        <v>390</v>
      </c>
      <c r="E9" s="88" t="s">
        <v>393</v>
      </c>
      <c r="F9" s="88" t="s">
        <v>391</v>
      </c>
      <c r="G9" s="88" t="s">
        <v>395</v>
      </c>
      <c r="H9" s="88" t="s">
        <v>397</v>
      </c>
      <c r="I9" s="88">
        <v>0.91</v>
      </c>
    </row>
    <row r="10" spans="1:10" x14ac:dyDescent="0.45">
      <c r="A10" s="122" t="s">
        <v>412</v>
      </c>
      <c r="B10" s="90">
        <v>202</v>
      </c>
      <c r="C10" s="65" t="s">
        <v>22</v>
      </c>
      <c r="D10" s="90">
        <v>3.17</v>
      </c>
      <c r="E10" s="90" t="s">
        <v>148</v>
      </c>
      <c r="F10" s="90" t="s">
        <v>67</v>
      </c>
      <c r="G10" s="90" t="s">
        <v>3</v>
      </c>
      <c r="H10" s="90" t="s">
        <v>8</v>
      </c>
      <c r="I10" s="90" t="s">
        <v>3</v>
      </c>
    </row>
    <row r="11" spans="1:10" ht="14.65" thickBot="1" x14ac:dyDescent="0.5">
      <c r="A11" s="124"/>
      <c r="B11" s="89"/>
      <c r="C11" s="67" t="s">
        <v>26</v>
      </c>
      <c r="D11" s="89" t="s">
        <v>389</v>
      </c>
      <c r="E11" s="89" t="s">
        <v>392</v>
      </c>
      <c r="F11" s="89" t="s">
        <v>389</v>
      </c>
      <c r="G11" s="89" t="s">
        <v>394</v>
      </c>
      <c r="H11" s="89" t="s">
        <v>396</v>
      </c>
      <c r="I11" s="89" t="s">
        <v>390</v>
      </c>
    </row>
    <row r="19" spans="1:7" x14ac:dyDescent="0.45">
      <c r="A19" s="60"/>
      <c r="B19" s="61"/>
      <c r="C19" s="63"/>
      <c r="D19" s="61"/>
      <c r="E19" s="61"/>
      <c r="F19" s="61"/>
      <c r="G19" s="61"/>
    </row>
  </sheetData>
  <mergeCells count="4">
    <mergeCell ref="A2:A3"/>
    <mergeCell ref="A10:A11"/>
    <mergeCell ref="A8:A9"/>
    <mergeCell ref="A4:A5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D8EC5-16D1-4DB3-9EAD-B607E36F8F5B}">
  <dimension ref="A1:J36"/>
  <sheetViews>
    <sheetView topLeftCell="A15" workbookViewId="0">
      <selection activeCell="D30" sqref="D30"/>
    </sheetView>
  </sheetViews>
  <sheetFormatPr defaultRowHeight="14.25" x14ac:dyDescent="0.45"/>
  <cols>
    <col min="1" max="1" width="7.265625" bestFit="1" customWidth="1"/>
    <col min="2" max="2" width="11.33203125" customWidth="1"/>
    <col min="3" max="3" width="10.73046875" customWidth="1"/>
    <col min="4" max="4" width="10.86328125" customWidth="1"/>
    <col min="6" max="6" width="8.796875" customWidth="1"/>
    <col min="9" max="9" width="8.59765625" customWidth="1"/>
    <col min="12" max="12" width="10.6640625" customWidth="1"/>
    <col min="13" max="13" width="12.19921875" customWidth="1"/>
    <col min="14" max="14" width="11.1328125" customWidth="1"/>
  </cols>
  <sheetData>
    <row r="1" spans="1:9" x14ac:dyDescent="0.45">
      <c r="A1" s="125" t="s">
        <v>801</v>
      </c>
      <c r="B1" s="125"/>
      <c r="C1" s="125"/>
      <c r="D1" s="125"/>
      <c r="E1" s="125"/>
      <c r="F1" s="125"/>
      <c r="G1" s="125"/>
      <c r="H1" s="125"/>
    </row>
    <row r="2" spans="1:9" s="3" customFormat="1" x14ac:dyDescent="0.45">
      <c r="A2" s="75" t="s">
        <v>415</v>
      </c>
      <c r="B2" s="76" t="s">
        <v>276</v>
      </c>
      <c r="C2" s="76" t="s">
        <v>277</v>
      </c>
      <c r="D2" s="76" t="s">
        <v>278</v>
      </c>
      <c r="E2" s="76" t="s">
        <v>279</v>
      </c>
      <c r="F2" s="76" t="s">
        <v>280</v>
      </c>
      <c r="G2" s="76" t="s">
        <v>281</v>
      </c>
      <c r="H2" s="76" t="s">
        <v>282</v>
      </c>
    </row>
    <row r="3" spans="1:9" x14ac:dyDescent="0.45">
      <c r="A3" s="81" t="s">
        <v>22</v>
      </c>
      <c r="B3" s="77" t="s">
        <v>1</v>
      </c>
      <c r="C3" s="77" t="s">
        <v>2</v>
      </c>
      <c r="D3" s="77" t="s">
        <v>3</v>
      </c>
      <c r="E3" s="77" t="s">
        <v>4</v>
      </c>
      <c r="F3" s="77" t="s">
        <v>5</v>
      </c>
      <c r="G3" s="77" t="s">
        <v>6</v>
      </c>
      <c r="H3" s="77" t="s">
        <v>7</v>
      </c>
    </row>
    <row r="4" spans="1:9" x14ac:dyDescent="0.45">
      <c r="A4" s="81" t="s">
        <v>409</v>
      </c>
      <c r="B4" s="77" t="s">
        <v>8</v>
      </c>
      <c r="C4" s="77" t="s">
        <v>9</v>
      </c>
      <c r="D4" s="77" t="s">
        <v>8</v>
      </c>
      <c r="E4" s="77" t="s">
        <v>8</v>
      </c>
      <c r="F4" s="77" t="s">
        <v>8</v>
      </c>
      <c r="G4" s="77" t="s">
        <v>10</v>
      </c>
      <c r="H4" s="77" t="s">
        <v>8</v>
      </c>
    </row>
    <row r="5" spans="1:9" x14ac:dyDescent="0.45">
      <c r="A5" s="81" t="s">
        <v>461</v>
      </c>
      <c r="B5" s="77" t="s">
        <v>8</v>
      </c>
      <c r="C5" s="77" t="s">
        <v>9</v>
      </c>
      <c r="D5" s="77" t="s">
        <v>8</v>
      </c>
      <c r="E5" s="77" t="s">
        <v>8</v>
      </c>
      <c r="F5" s="77" t="s">
        <v>8</v>
      </c>
      <c r="G5" s="77" t="s">
        <v>10</v>
      </c>
      <c r="H5" s="77" t="s">
        <v>8</v>
      </c>
    </row>
    <row r="6" spans="1:9" x14ac:dyDescent="0.45">
      <c r="A6" s="81" t="s">
        <v>26</v>
      </c>
      <c r="B6" s="77" t="s">
        <v>398</v>
      </c>
      <c r="C6" s="77" t="s">
        <v>451</v>
      </c>
      <c r="D6" s="78" t="s">
        <v>11</v>
      </c>
      <c r="E6" s="78" t="s">
        <v>12</v>
      </c>
      <c r="F6" s="78">
        <v>1170</v>
      </c>
      <c r="G6" s="78" t="s">
        <v>13</v>
      </c>
      <c r="H6" s="78" t="s">
        <v>14</v>
      </c>
    </row>
    <row r="8" spans="1:9" x14ac:dyDescent="0.45">
      <c r="A8" s="126" t="s">
        <v>625</v>
      </c>
      <c r="B8" s="126"/>
      <c r="C8" s="126"/>
      <c r="D8" s="126"/>
      <c r="E8" s="126"/>
      <c r="F8" s="126"/>
      <c r="G8" s="126"/>
    </row>
    <row r="9" spans="1:9" ht="28.5" x14ac:dyDescent="0.45">
      <c r="A9" s="70" t="s">
        <v>414</v>
      </c>
      <c r="B9" s="70" t="s">
        <v>545</v>
      </c>
      <c r="C9" s="70" t="s">
        <v>611</v>
      </c>
      <c r="D9" s="70" t="s">
        <v>546</v>
      </c>
      <c r="E9" s="70" t="s">
        <v>612</v>
      </c>
      <c r="F9" s="70" t="s">
        <v>613</v>
      </c>
      <c r="G9" s="70" t="s">
        <v>614</v>
      </c>
    </row>
    <row r="10" spans="1:9" x14ac:dyDescent="0.45">
      <c r="A10" s="79" t="s">
        <v>276</v>
      </c>
      <c r="B10" s="79">
        <v>33151</v>
      </c>
      <c r="C10" s="79" t="s">
        <v>463</v>
      </c>
      <c r="D10" s="79">
        <v>-3.5000000000000003E-2</v>
      </c>
      <c r="E10" s="79">
        <v>5797</v>
      </c>
      <c r="F10" s="79" t="s">
        <v>464</v>
      </c>
      <c r="G10" s="79">
        <v>6.0999999999999999E-2</v>
      </c>
      <c r="I10" s="87"/>
    </row>
    <row r="11" spans="1:9" x14ac:dyDescent="0.45">
      <c r="A11" s="79" t="s">
        <v>277</v>
      </c>
      <c r="B11" s="79">
        <v>30250</v>
      </c>
      <c r="C11" s="79" t="s">
        <v>465</v>
      </c>
      <c r="D11" s="79">
        <v>5.5E-2</v>
      </c>
      <c r="E11" s="79">
        <v>6328</v>
      </c>
      <c r="F11" s="79" t="s">
        <v>445</v>
      </c>
      <c r="G11" s="79">
        <v>2.5000000000000001E-2</v>
      </c>
      <c r="I11" s="87"/>
    </row>
    <row r="12" spans="1:9" x14ac:dyDescent="0.45">
      <c r="A12" s="79" t="s">
        <v>278</v>
      </c>
      <c r="B12" s="79">
        <v>32798</v>
      </c>
      <c r="C12" s="79" t="s">
        <v>464</v>
      </c>
      <c r="D12" s="79">
        <v>-2.4E-2</v>
      </c>
      <c r="E12" s="79">
        <v>5443</v>
      </c>
      <c r="F12" s="79" t="s">
        <v>467</v>
      </c>
      <c r="G12" s="79">
        <v>0.11899999999999999</v>
      </c>
      <c r="I12" s="87"/>
    </row>
    <row r="13" spans="1:9" x14ac:dyDescent="0.45">
      <c r="A13" s="79" t="s">
        <v>279</v>
      </c>
      <c r="B13" s="79">
        <v>29092</v>
      </c>
      <c r="C13" s="79" t="s">
        <v>469</v>
      </c>
      <c r="D13" s="79">
        <v>9.0999999999999998E-2</v>
      </c>
      <c r="E13" s="79">
        <v>6275</v>
      </c>
      <c r="F13" s="79" t="s">
        <v>172</v>
      </c>
      <c r="G13" s="79">
        <v>-1.6E-2</v>
      </c>
      <c r="I13" s="87"/>
    </row>
    <row r="14" spans="1:9" x14ac:dyDescent="0.45">
      <c r="A14" s="79" t="s">
        <v>280</v>
      </c>
      <c r="B14" s="79">
        <v>31500</v>
      </c>
      <c r="C14" s="79" t="s">
        <v>470</v>
      </c>
      <c r="D14" s="79">
        <v>1.6E-2</v>
      </c>
      <c r="E14" s="79">
        <v>5928</v>
      </c>
      <c r="F14" s="79" t="s">
        <v>472</v>
      </c>
      <c r="G14" s="94">
        <v>0.04</v>
      </c>
      <c r="I14" s="87"/>
    </row>
    <row r="15" spans="1:9" x14ac:dyDescent="0.45">
      <c r="A15" s="79" t="s">
        <v>281</v>
      </c>
      <c r="B15" s="79">
        <v>32126</v>
      </c>
      <c r="C15" s="79" t="s">
        <v>89</v>
      </c>
      <c r="D15" s="79">
        <v>3.0000000000000001E-3</v>
      </c>
      <c r="E15" s="79">
        <v>5801</v>
      </c>
      <c r="F15" s="79" t="s">
        <v>473</v>
      </c>
      <c r="G15" s="79">
        <v>6.0999999999999999E-2</v>
      </c>
      <c r="I15" s="87"/>
    </row>
    <row r="16" spans="1:9" x14ac:dyDescent="0.45">
      <c r="A16" s="79" t="s">
        <v>282</v>
      </c>
      <c r="B16" s="79">
        <v>34320</v>
      </c>
      <c r="C16" s="79" t="s">
        <v>474</v>
      </c>
      <c r="D16" s="79">
        <v>-7.1999999999999995E-2</v>
      </c>
      <c r="E16" s="79">
        <v>3707</v>
      </c>
      <c r="F16" s="79" t="s">
        <v>802</v>
      </c>
      <c r="G16" s="94">
        <v>0.4</v>
      </c>
      <c r="I16" s="87"/>
    </row>
    <row r="18" spans="1:10" x14ac:dyDescent="0.45">
      <c r="A18" s="127" t="s">
        <v>798</v>
      </c>
      <c r="B18" s="127"/>
      <c r="C18" s="127"/>
      <c r="D18" s="127"/>
      <c r="E18" s="127"/>
      <c r="F18" s="127"/>
      <c r="G18" s="127"/>
    </row>
    <row r="19" spans="1:10" ht="28.5" x14ac:dyDescent="0.45">
      <c r="A19" s="70" t="s">
        <v>414</v>
      </c>
      <c r="B19" s="70" t="s">
        <v>534</v>
      </c>
      <c r="C19" s="70" t="s">
        <v>587</v>
      </c>
      <c r="D19" s="70" t="s">
        <v>535</v>
      </c>
      <c r="E19" s="70" t="s">
        <v>797</v>
      </c>
      <c r="F19" s="70" t="s">
        <v>536</v>
      </c>
      <c r="G19" s="70" t="s">
        <v>609</v>
      </c>
    </row>
    <row r="20" spans="1:10" x14ac:dyDescent="0.45">
      <c r="A20" s="77" t="s">
        <v>276</v>
      </c>
      <c r="B20" s="77" t="s">
        <v>475</v>
      </c>
      <c r="C20" s="77" t="s">
        <v>476</v>
      </c>
      <c r="D20" s="77" t="s">
        <v>477</v>
      </c>
      <c r="E20" s="77" t="s">
        <v>478</v>
      </c>
      <c r="F20" s="77" t="s">
        <v>479</v>
      </c>
      <c r="G20" s="80" t="s">
        <v>480</v>
      </c>
    </row>
    <row r="21" spans="1:10" x14ac:dyDescent="0.45">
      <c r="A21" s="77" t="s">
        <v>277</v>
      </c>
      <c r="B21" s="77" t="s">
        <v>481</v>
      </c>
      <c r="C21" s="77" t="s">
        <v>71</v>
      </c>
      <c r="D21" s="77" t="s">
        <v>482</v>
      </c>
      <c r="E21" s="77" t="s">
        <v>483</v>
      </c>
      <c r="F21" s="77" t="s">
        <v>484</v>
      </c>
      <c r="G21" s="80" t="s">
        <v>593</v>
      </c>
    </row>
    <row r="22" spans="1:10" x14ac:dyDescent="0.45">
      <c r="A22" s="77" t="s">
        <v>278</v>
      </c>
      <c r="B22" s="77" t="s">
        <v>486</v>
      </c>
      <c r="C22" s="77" t="s">
        <v>487</v>
      </c>
      <c r="D22" s="77" t="s">
        <v>488</v>
      </c>
      <c r="E22" s="77" t="s">
        <v>489</v>
      </c>
      <c r="F22" s="77" t="s">
        <v>490</v>
      </c>
      <c r="G22" s="80" t="s">
        <v>491</v>
      </c>
    </row>
    <row r="23" spans="1:10" x14ac:dyDescent="0.45">
      <c r="A23" s="77" t="s">
        <v>279</v>
      </c>
      <c r="B23" s="77" t="s">
        <v>492</v>
      </c>
      <c r="C23" s="77" t="s">
        <v>350</v>
      </c>
      <c r="D23" s="77" t="s">
        <v>493</v>
      </c>
      <c r="E23" s="77" t="s">
        <v>469</v>
      </c>
      <c r="F23" s="77" t="s">
        <v>494</v>
      </c>
      <c r="G23" s="80" t="s">
        <v>617</v>
      </c>
    </row>
    <row r="24" spans="1:10" x14ac:dyDescent="0.45">
      <c r="A24" s="77" t="s">
        <v>280</v>
      </c>
      <c r="B24" s="77" t="s">
        <v>466</v>
      </c>
      <c r="C24" s="77" t="s">
        <v>496</v>
      </c>
      <c r="D24" s="77" t="s">
        <v>497</v>
      </c>
      <c r="E24" s="77" t="s">
        <v>498</v>
      </c>
      <c r="F24" s="77" t="s">
        <v>468</v>
      </c>
      <c r="G24" s="80" t="s">
        <v>618</v>
      </c>
    </row>
    <row r="25" spans="1:10" x14ac:dyDescent="0.45">
      <c r="A25" s="77" t="s">
        <v>281</v>
      </c>
      <c r="B25" s="77" t="s">
        <v>500</v>
      </c>
      <c r="C25" s="77" t="s">
        <v>71</v>
      </c>
      <c r="D25" s="77" t="s">
        <v>501</v>
      </c>
      <c r="E25" s="77" t="s">
        <v>351</v>
      </c>
      <c r="F25" s="77" t="s">
        <v>502</v>
      </c>
      <c r="G25" s="80" t="s">
        <v>503</v>
      </c>
    </row>
    <row r="26" spans="1:10" x14ac:dyDescent="0.45">
      <c r="A26" s="77" t="s">
        <v>282</v>
      </c>
      <c r="B26" s="77" t="s">
        <v>504</v>
      </c>
      <c r="C26" s="77" t="s">
        <v>505</v>
      </c>
      <c r="D26" s="77" t="s">
        <v>506</v>
      </c>
      <c r="E26" s="77" t="s">
        <v>507</v>
      </c>
      <c r="F26" s="77" t="s">
        <v>508</v>
      </c>
      <c r="G26" s="80" t="s">
        <v>509</v>
      </c>
    </row>
    <row r="28" spans="1:10" x14ac:dyDescent="0.45">
      <c r="A28" s="127" t="s">
        <v>800</v>
      </c>
      <c r="B28" s="127"/>
      <c r="C28" s="127"/>
      <c r="D28" s="127"/>
      <c r="E28" s="127"/>
      <c r="F28" s="127"/>
      <c r="G28" s="127"/>
      <c r="H28" s="127"/>
      <c r="I28" s="127"/>
      <c r="J28" s="127"/>
    </row>
    <row r="29" spans="1:10" ht="28.5" x14ac:dyDescent="0.45">
      <c r="A29" s="70" t="s">
        <v>414</v>
      </c>
      <c r="B29" s="70" t="s">
        <v>537</v>
      </c>
      <c r="C29" s="70" t="s">
        <v>538</v>
      </c>
      <c r="D29" s="70" t="s">
        <v>539</v>
      </c>
      <c r="E29" s="70" t="s">
        <v>649</v>
      </c>
      <c r="F29" s="70" t="s">
        <v>626</v>
      </c>
      <c r="G29" s="70" t="s">
        <v>627</v>
      </c>
      <c r="H29" s="70" t="s">
        <v>540</v>
      </c>
      <c r="I29" s="70" t="s">
        <v>541</v>
      </c>
      <c r="J29" s="70" t="s">
        <v>542</v>
      </c>
    </row>
    <row r="30" spans="1:10" x14ac:dyDescent="0.45">
      <c r="A30" s="77" t="s">
        <v>276</v>
      </c>
      <c r="B30" s="78">
        <v>6679</v>
      </c>
      <c r="C30" s="77" t="s">
        <v>510</v>
      </c>
      <c r="D30" s="77" t="s">
        <v>471</v>
      </c>
      <c r="E30" s="78">
        <v>48466</v>
      </c>
      <c r="F30" s="81" t="s">
        <v>642</v>
      </c>
      <c r="G30" s="77">
        <v>9.4E-2</v>
      </c>
      <c r="H30" s="78">
        <v>3751</v>
      </c>
      <c r="I30" s="81" t="s">
        <v>511</v>
      </c>
      <c r="J30" s="77" t="s">
        <v>499</v>
      </c>
    </row>
    <row r="31" spans="1:10" x14ac:dyDescent="0.45">
      <c r="A31" s="77" t="s">
        <v>277</v>
      </c>
      <c r="B31" s="78">
        <v>2712</v>
      </c>
      <c r="C31" s="77" t="s">
        <v>79</v>
      </c>
      <c r="D31" s="77" t="s">
        <v>485</v>
      </c>
      <c r="E31" s="78">
        <v>49483</v>
      </c>
      <c r="F31" s="81" t="s">
        <v>803</v>
      </c>
      <c r="G31" s="77">
        <v>9.6000000000000002E-2</v>
      </c>
      <c r="H31" s="78">
        <v>5994</v>
      </c>
      <c r="I31" s="81" t="s">
        <v>513</v>
      </c>
      <c r="J31" s="77" t="s">
        <v>514</v>
      </c>
    </row>
    <row r="32" spans="1:10" x14ac:dyDescent="0.45">
      <c r="A32" s="77" t="s">
        <v>278</v>
      </c>
      <c r="B32" s="78">
        <v>2980</v>
      </c>
      <c r="C32" s="77" t="s">
        <v>515</v>
      </c>
      <c r="D32" s="77" t="s">
        <v>516</v>
      </c>
      <c r="E32" s="78">
        <v>46125</v>
      </c>
      <c r="F32" s="81" t="s">
        <v>804</v>
      </c>
      <c r="G32" s="77">
        <v>8.8999999999999996E-2</v>
      </c>
      <c r="H32" s="78">
        <v>4462</v>
      </c>
      <c r="I32" s="81" t="s">
        <v>517</v>
      </c>
      <c r="J32" s="77" t="s">
        <v>518</v>
      </c>
    </row>
    <row r="33" spans="1:10" x14ac:dyDescent="0.45">
      <c r="A33" s="77" t="s">
        <v>279</v>
      </c>
      <c r="B33" s="78">
        <v>6439</v>
      </c>
      <c r="C33" s="77" t="s">
        <v>519</v>
      </c>
      <c r="D33" s="77" t="s">
        <v>514</v>
      </c>
      <c r="E33" s="78">
        <v>32311</v>
      </c>
      <c r="F33" s="81" t="s">
        <v>520</v>
      </c>
      <c r="G33" s="77">
        <v>6.2E-2</v>
      </c>
      <c r="H33" s="78">
        <v>4230</v>
      </c>
      <c r="I33" s="81" t="s">
        <v>521</v>
      </c>
      <c r="J33" s="77" t="s">
        <v>522</v>
      </c>
    </row>
    <row r="34" spans="1:10" x14ac:dyDescent="0.45">
      <c r="A34" s="77" t="s">
        <v>280</v>
      </c>
      <c r="B34" s="78">
        <v>1108</v>
      </c>
      <c r="C34" s="77" t="s">
        <v>523</v>
      </c>
      <c r="D34" s="77" t="s">
        <v>524</v>
      </c>
      <c r="E34" s="78">
        <v>38561</v>
      </c>
      <c r="F34" s="81" t="s">
        <v>474</v>
      </c>
      <c r="G34" s="77">
        <v>7.3999999999999996E-2</v>
      </c>
      <c r="H34" s="78">
        <v>9606</v>
      </c>
      <c r="I34" s="81" t="s">
        <v>806</v>
      </c>
      <c r="J34" s="77" t="s">
        <v>525</v>
      </c>
    </row>
    <row r="35" spans="1:10" x14ac:dyDescent="0.45">
      <c r="A35" s="77" t="s">
        <v>281</v>
      </c>
      <c r="B35" s="77" t="s">
        <v>526</v>
      </c>
      <c r="C35" s="77" t="s">
        <v>422</v>
      </c>
      <c r="D35" s="77" t="s">
        <v>527</v>
      </c>
      <c r="E35" s="78">
        <v>36852</v>
      </c>
      <c r="F35" s="81" t="s">
        <v>528</v>
      </c>
      <c r="G35" s="77">
        <v>7.0999999999999994E-2</v>
      </c>
      <c r="H35" s="78">
        <v>3446</v>
      </c>
      <c r="I35" s="81" t="s">
        <v>529</v>
      </c>
      <c r="J35" s="77" t="s">
        <v>499</v>
      </c>
    </row>
    <row r="36" spans="1:10" x14ac:dyDescent="0.45">
      <c r="A36" s="77" t="s">
        <v>282</v>
      </c>
      <c r="B36" s="78">
        <v>5741</v>
      </c>
      <c r="C36" s="77" t="s">
        <v>530</v>
      </c>
      <c r="D36" s="77" t="s">
        <v>531</v>
      </c>
      <c r="E36" s="78">
        <v>46866</v>
      </c>
      <c r="F36" s="81" t="s">
        <v>805</v>
      </c>
      <c r="G36" s="83">
        <v>0.09</v>
      </c>
      <c r="H36" s="78">
        <v>13661</v>
      </c>
      <c r="I36" s="81" t="s">
        <v>595</v>
      </c>
      <c r="J36" s="77" t="s">
        <v>532</v>
      </c>
    </row>
  </sheetData>
  <mergeCells count="4">
    <mergeCell ref="A1:H1"/>
    <mergeCell ref="A8:G8"/>
    <mergeCell ref="A18:G18"/>
    <mergeCell ref="A28:J28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C7C6-6193-4D27-8D36-EC0D10CD044C}">
  <dimension ref="A1:V44"/>
  <sheetViews>
    <sheetView topLeftCell="A8" workbookViewId="0">
      <selection activeCell="D20" sqref="D20"/>
    </sheetView>
  </sheetViews>
  <sheetFormatPr defaultRowHeight="14.25" x14ac:dyDescent="0.45"/>
  <cols>
    <col min="1" max="1" width="9.06640625" style="54"/>
    <col min="2" max="2" width="8.86328125" style="54" customWidth="1"/>
    <col min="3" max="3" width="10.265625" style="54" bestFit="1" customWidth="1"/>
    <col min="4" max="4" width="9.9296875" style="54" customWidth="1"/>
    <col min="5" max="5" width="10" style="54" customWidth="1"/>
    <col min="6" max="6" width="10.73046875" style="54" customWidth="1"/>
    <col min="7" max="7" width="12.9296875" style="54" customWidth="1"/>
    <col min="8" max="8" width="10.6640625" style="54" customWidth="1"/>
    <col min="9" max="9" width="11.86328125" style="54" customWidth="1"/>
    <col min="10" max="11" width="11.9296875" style="69" customWidth="1"/>
    <col min="12" max="18" width="9.06640625" style="69"/>
    <col min="19" max="19" width="7.3984375" style="48" customWidth="1"/>
    <col min="20" max="20" width="7.19921875" style="69" customWidth="1"/>
    <col min="21" max="21" width="9.06640625" style="69"/>
    <col min="22" max="22" width="13.33203125" style="69" bestFit="1" customWidth="1"/>
    <col min="23" max="23" width="11.265625" style="69" bestFit="1" customWidth="1"/>
    <col min="24" max="16384" width="9.06640625" style="69"/>
  </cols>
  <sheetData>
    <row r="1" spans="1:22" x14ac:dyDescent="0.45">
      <c r="A1" s="126" t="s">
        <v>585</v>
      </c>
      <c r="B1" s="126"/>
      <c r="C1" s="126"/>
      <c r="D1" s="126"/>
      <c r="E1" s="126"/>
      <c r="F1" s="126"/>
      <c r="G1" s="126"/>
      <c r="H1" s="126"/>
      <c r="I1" s="126"/>
      <c r="L1" s="126" t="s">
        <v>796</v>
      </c>
      <c r="M1" s="126"/>
      <c r="N1" s="126"/>
      <c r="O1" s="126"/>
      <c r="P1" s="126"/>
      <c r="Q1" s="126"/>
      <c r="R1" s="126"/>
      <c r="S1" s="126"/>
      <c r="T1" s="126"/>
    </row>
    <row r="2" spans="1:22" ht="31.15" customHeight="1" x14ac:dyDescent="0.45">
      <c r="A2" s="70" t="s">
        <v>399</v>
      </c>
      <c r="B2" s="70" t="s">
        <v>547</v>
      </c>
      <c r="C2" s="70" t="s">
        <v>548</v>
      </c>
      <c r="D2" s="70" t="s">
        <v>549</v>
      </c>
      <c r="E2" s="70" t="s">
        <v>550</v>
      </c>
      <c r="F2" s="70" t="s">
        <v>551</v>
      </c>
      <c r="G2" s="70" t="s">
        <v>552</v>
      </c>
      <c r="H2" s="71" t="s">
        <v>553</v>
      </c>
      <c r="I2" s="70" t="s">
        <v>554</v>
      </c>
      <c r="L2" s="70" t="s">
        <v>414</v>
      </c>
      <c r="M2" s="70" t="s">
        <v>547</v>
      </c>
      <c r="N2" s="70" t="s">
        <v>548</v>
      </c>
      <c r="O2" s="70" t="s">
        <v>549</v>
      </c>
      <c r="P2" s="70" t="s">
        <v>550</v>
      </c>
      <c r="Q2" s="70" t="s">
        <v>551</v>
      </c>
      <c r="R2" s="70" t="s">
        <v>552</v>
      </c>
      <c r="S2" s="71" t="s">
        <v>553</v>
      </c>
      <c r="T2" s="70" t="s">
        <v>554</v>
      </c>
    </row>
    <row r="3" spans="1:22" x14ac:dyDescent="0.45">
      <c r="A3" s="72" t="s">
        <v>16</v>
      </c>
      <c r="B3" s="73">
        <v>3239</v>
      </c>
      <c r="C3" s="72" t="s">
        <v>555</v>
      </c>
      <c r="D3" s="73">
        <v>3281</v>
      </c>
      <c r="E3" s="72" t="s">
        <v>556</v>
      </c>
      <c r="F3" s="72" t="s">
        <v>557</v>
      </c>
      <c r="G3" s="72" t="s">
        <v>558</v>
      </c>
      <c r="H3" s="74" t="s">
        <v>559</v>
      </c>
      <c r="I3" s="72">
        <v>-6.2E-2</v>
      </c>
      <c r="J3" s="84"/>
      <c r="L3" s="72" t="s">
        <v>688</v>
      </c>
      <c r="M3" s="73">
        <v>3374</v>
      </c>
      <c r="N3" s="72" t="s">
        <v>347</v>
      </c>
      <c r="O3" s="73">
        <v>2689</v>
      </c>
      <c r="P3" s="73">
        <v>1087</v>
      </c>
      <c r="Q3" s="72" t="s">
        <v>689</v>
      </c>
      <c r="R3" s="72" t="s">
        <v>690</v>
      </c>
      <c r="S3" s="74" t="s">
        <v>578</v>
      </c>
      <c r="T3" s="85">
        <f>R3*2/(519*45)-1</f>
        <v>0.49158638407193322</v>
      </c>
      <c r="U3" s="84"/>
      <c r="V3" s="84"/>
    </row>
    <row r="4" spans="1:22" x14ac:dyDescent="0.45">
      <c r="A4" s="72" t="s">
        <v>17</v>
      </c>
      <c r="B4" s="73">
        <v>3288</v>
      </c>
      <c r="C4" s="72" t="s">
        <v>566</v>
      </c>
      <c r="D4" s="73">
        <v>3122</v>
      </c>
      <c r="E4" s="72" t="s">
        <v>561</v>
      </c>
      <c r="F4" s="72" t="s">
        <v>567</v>
      </c>
      <c r="G4" s="72" t="s">
        <v>568</v>
      </c>
      <c r="H4" s="74" t="s">
        <v>569</v>
      </c>
      <c r="I4" s="72" t="s">
        <v>528</v>
      </c>
      <c r="J4" s="84"/>
      <c r="L4" s="72" t="s">
        <v>691</v>
      </c>
      <c r="M4" s="73">
        <v>3258</v>
      </c>
      <c r="N4" s="72" t="s">
        <v>692</v>
      </c>
      <c r="O4" s="73">
        <v>3067</v>
      </c>
      <c r="P4" s="73">
        <v>1173</v>
      </c>
      <c r="Q4" s="72" t="s">
        <v>693</v>
      </c>
      <c r="R4" s="72" t="s">
        <v>694</v>
      </c>
      <c r="S4" s="74" t="s">
        <v>695</v>
      </c>
      <c r="T4" s="85">
        <f t="shared" ref="T4:T30" si="0">R4*2/(519*45)-1</f>
        <v>0.2450010704345964</v>
      </c>
      <c r="U4" s="84"/>
      <c r="V4" s="84"/>
    </row>
    <row r="5" spans="1:22" x14ac:dyDescent="0.45">
      <c r="A5" s="72" t="s">
        <v>18</v>
      </c>
      <c r="B5" s="73">
        <v>3157</v>
      </c>
      <c r="C5" s="72" t="s">
        <v>560</v>
      </c>
      <c r="D5" s="73">
        <v>2756</v>
      </c>
      <c r="E5" s="72" t="s">
        <v>561</v>
      </c>
      <c r="F5" s="72" t="s">
        <v>562</v>
      </c>
      <c r="G5" s="72" t="s">
        <v>563</v>
      </c>
      <c r="H5" s="74" t="s">
        <v>564</v>
      </c>
      <c r="I5" s="72" t="s">
        <v>565</v>
      </c>
      <c r="J5" s="84"/>
      <c r="L5" s="72" t="s">
        <v>696</v>
      </c>
      <c r="M5" s="73">
        <v>3349</v>
      </c>
      <c r="N5" s="72" t="s">
        <v>697</v>
      </c>
      <c r="O5" s="73">
        <v>3444</v>
      </c>
      <c r="P5" s="73">
        <v>1082</v>
      </c>
      <c r="Q5" s="72" t="s">
        <v>698</v>
      </c>
      <c r="R5" s="72" t="s">
        <v>699</v>
      </c>
      <c r="S5" s="74" t="s">
        <v>669</v>
      </c>
      <c r="T5" s="85">
        <f t="shared" si="0"/>
        <v>1.0233354742025247E-2</v>
      </c>
      <c r="U5" s="84"/>
      <c r="V5" s="84"/>
    </row>
    <row r="6" spans="1:22" x14ac:dyDescent="0.45">
      <c r="A6" s="72" t="s">
        <v>19</v>
      </c>
      <c r="B6" s="73">
        <v>3206</v>
      </c>
      <c r="C6" s="72" t="s">
        <v>570</v>
      </c>
      <c r="D6" s="73">
        <v>3111</v>
      </c>
      <c r="E6" s="72" t="s">
        <v>400</v>
      </c>
      <c r="F6" s="72" t="s">
        <v>571</v>
      </c>
      <c r="G6" s="72" t="s">
        <v>572</v>
      </c>
      <c r="H6" s="74" t="s">
        <v>573</v>
      </c>
      <c r="I6" s="72" t="s">
        <v>574</v>
      </c>
      <c r="J6" s="84"/>
      <c r="L6" s="72" t="s">
        <v>700</v>
      </c>
      <c r="M6" s="73">
        <v>3268</v>
      </c>
      <c r="N6" s="72" t="s">
        <v>701</v>
      </c>
      <c r="O6" s="73">
        <v>3289</v>
      </c>
      <c r="P6" s="73">
        <v>1096</v>
      </c>
      <c r="Q6" s="72" t="s">
        <v>702</v>
      </c>
      <c r="R6" s="72" t="s">
        <v>703</v>
      </c>
      <c r="S6" s="74" t="s">
        <v>704</v>
      </c>
      <c r="T6" s="85">
        <f t="shared" si="0"/>
        <v>0.11864697067009211</v>
      </c>
      <c r="U6" s="84"/>
      <c r="V6" s="84"/>
    </row>
    <row r="7" spans="1:22" x14ac:dyDescent="0.45">
      <c r="A7" s="72" t="s">
        <v>20</v>
      </c>
      <c r="B7" s="73">
        <v>3063</v>
      </c>
      <c r="C7" s="72" t="s">
        <v>575</v>
      </c>
      <c r="D7" s="73">
        <v>2585</v>
      </c>
      <c r="E7" s="72" t="s">
        <v>167</v>
      </c>
      <c r="F7" s="72" t="s">
        <v>576</v>
      </c>
      <c r="G7" s="72" t="s">
        <v>577</v>
      </c>
      <c r="H7" s="74" t="s">
        <v>578</v>
      </c>
      <c r="I7" s="72" t="s">
        <v>579</v>
      </c>
      <c r="J7" s="84"/>
      <c r="L7" s="72" t="s">
        <v>705</v>
      </c>
      <c r="M7" s="73">
        <v>3235</v>
      </c>
      <c r="N7" s="72" t="s">
        <v>706</v>
      </c>
      <c r="O7" s="73">
        <v>3044</v>
      </c>
      <c r="P7" s="72" t="s">
        <v>697</v>
      </c>
      <c r="Q7" s="72" t="s">
        <v>693</v>
      </c>
      <c r="R7" s="72" t="s">
        <v>707</v>
      </c>
      <c r="S7" s="74" t="s">
        <v>708</v>
      </c>
      <c r="T7" s="85">
        <f t="shared" si="0"/>
        <v>0.21866837936202099</v>
      </c>
      <c r="U7" s="84"/>
      <c r="V7" s="84"/>
    </row>
    <row r="8" spans="1:22" x14ac:dyDescent="0.45">
      <c r="A8" s="72" t="s">
        <v>21</v>
      </c>
      <c r="B8" s="73">
        <v>3147</v>
      </c>
      <c r="C8" s="72" t="s">
        <v>580</v>
      </c>
      <c r="D8" s="73">
        <v>2356</v>
      </c>
      <c r="E8" s="72" t="s">
        <v>581</v>
      </c>
      <c r="F8" s="72" t="s">
        <v>582</v>
      </c>
      <c r="G8" s="72" t="s">
        <v>583</v>
      </c>
      <c r="H8" s="74" t="s">
        <v>578</v>
      </c>
      <c r="I8" s="72" t="s">
        <v>584</v>
      </c>
      <c r="J8" s="84"/>
      <c r="L8" s="72" t="s">
        <v>709</v>
      </c>
      <c r="M8" s="73">
        <v>3247</v>
      </c>
      <c r="N8" s="72" t="s">
        <v>141</v>
      </c>
      <c r="O8" s="73">
        <v>3200</v>
      </c>
      <c r="P8" s="72" t="s">
        <v>710</v>
      </c>
      <c r="Q8" s="72" t="s">
        <v>711</v>
      </c>
      <c r="R8" s="72" t="s">
        <v>712</v>
      </c>
      <c r="S8" s="74" t="s">
        <v>713</v>
      </c>
      <c r="T8" s="85">
        <f t="shared" si="0"/>
        <v>0.12074502247912644</v>
      </c>
      <c r="U8" s="84"/>
      <c r="V8" s="84"/>
    </row>
    <row r="9" spans="1:22" x14ac:dyDescent="0.45">
      <c r="L9" s="72" t="s">
        <v>714</v>
      </c>
      <c r="M9" s="73">
        <v>3237</v>
      </c>
      <c r="N9" s="72" t="s">
        <v>322</v>
      </c>
      <c r="O9" s="73">
        <v>2778</v>
      </c>
      <c r="P9" s="73">
        <v>1171</v>
      </c>
      <c r="Q9" s="72" t="s">
        <v>715</v>
      </c>
      <c r="R9" s="72" t="s">
        <v>716</v>
      </c>
      <c r="S9" s="74" t="s">
        <v>717</v>
      </c>
      <c r="T9" s="85">
        <f t="shared" si="0"/>
        <v>0.37156925711839017</v>
      </c>
      <c r="U9" s="84"/>
      <c r="V9" s="84"/>
    </row>
    <row r="10" spans="1:22" x14ac:dyDescent="0.45">
      <c r="A10" s="126" t="s">
        <v>625</v>
      </c>
      <c r="B10" s="126"/>
      <c r="C10" s="126"/>
      <c r="D10" s="126"/>
      <c r="E10" s="126"/>
      <c r="F10" s="126"/>
      <c r="G10" s="126"/>
      <c r="L10" s="72" t="s">
        <v>718</v>
      </c>
      <c r="M10" s="73">
        <v>3112</v>
      </c>
      <c r="N10" s="72" t="s">
        <v>719</v>
      </c>
      <c r="O10" s="73">
        <v>2911</v>
      </c>
      <c r="P10" s="73">
        <v>1131</v>
      </c>
      <c r="Q10" s="72" t="s">
        <v>681</v>
      </c>
      <c r="R10" s="72" t="s">
        <v>720</v>
      </c>
      <c r="S10" s="74" t="s">
        <v>467</v>
      </c>
      <c r="T10" s="85">
        <f t="shared" si="0"/>
        <v>0.20376792977949054</v>
      </c>
      <c r="U10" s="84"/>
      <c r="V10" s="84"/>
    </row>
    <row r="11" spans="1:22" ht="28.5" x14ac:dyDescent="0.45">
      <c r="A11" s="70" t="s">
        <v>399</v>
      </c>
      <c r="B11" s="70" t="s">
        <v>545</v>
      </c>
      <c r="C11" s="70" t="s">
        <v>611</v>
      </c>
      <c r="D11" s="70" t="s">
        <v>546</v>
      </c>
      <c r="E11" s="70" t="s">
        <v>612</v>
      </c>
      <c r="F11" s="70" t="s">
        <v>613</v>
      </c>
      <c r="G11" s="70" t="s">
        <v>614</v>
      </c>
      <c r="L11" s="72" t="s">
        <v>721</v>
      </c>
      <c r="M11" s="73">
        <v>3193</v>
      </c>
      <c r="N11" s="72" t="s">
        <v>722</v>
      </c>
      <c r="O11" s="73">
        <v>2933</v>
      </c>
      <c r="P11" s="73">
        <v>1103</v>
      </c>
      <c r="Q11" s="72" t="s">
        <v>672</v>
      </c>
      <c r="R11" s="72" t="s">
        <v>723</v>
      </c>
      <c r="S11" s="74" t="s">
        <v>724</v>
      </c>
      <c r="T11" s="85">
        <f t="shared" si="0"/>
        <v>0.25086705202312132</v>
      </c>
      <c r="U11" s="84"/>
      <c r="V11" s="84"/>
    </row>
    <row r="12" spans="1:22" x14ac:dyDescent="0.45">
      <c r="A12" s="72" t="s">
        <v>16</v>
      </c>
      <c r="B12" s="72">
        <v>28425</v>
      </c>
      <c r="C12" s="74" t="s">
        <v>615</v>
      </c>
      <c r="D12" s="85">
        <v>0.112190398850611</v>
      </c>
      <c r="E12" s="72">
        <v>5087</v>
      </c>
      <c r="F12" s="74" t="s">
        <v>616</v>
      </c>
      <c r="G12" s="85">
        <v>0.17619433198380599</v>
      </c>
      <c r="I12" s="86"/>
      <c r="J12" s="84"/>
      <c r="L12" s="72" t="s">
        <v>725</v>
      </c>
      <c r="M12" s="73">
        <v>3112</v>
      </c>
      <c r="N12" s="72" t="s">
        <v>726</v>
      </c>
      <c r="O12" s="73">
        <v>2711</v>
      </c>
      <c r="P12" s="73">
        <v>1146</v>
      </c>
      <c r="Q12" s="72" t="s">
        <v>562</v>
      </c>
      <c r="R12" s="72" t="s">
        <v>727</v>
      </c>
      <c r="S12" s="74" t="s">
        <v>603</v>
      </c>
      <c r="T12" s="85">
        <f t="shared" si="0"/>
        <v>0.31826161421537136</v>
      </c>
      <c r="U12" s="84"/>
      <c r="V12" s="84"/>
    </row>
    <row r="13" spans="1:22" x14ac:dyDescent="0.45">
      <c r="A13" s="72" t="s">
        <v>17</v>
      </c>
      <c r="B13" s="72">
        <v>27469</v>
      </c>
      <c r="C13" s="74" t="s">
        <v>618</v>
      </c>
      <c r="D13" s="85">
        <v>0.14204953618390201</v>
      </c>
      <c r="E13" s="72">
        <v>5714</v>
      </c>
      <c r="F13" s="74" t="s">
        <v>619</v>
      </c>
      <c r="G13" s="85">
        <v>7.4655870445344205E-2</v>
      </c>
      <c r="I13" s="86"/>
      <c r="J13" s="84"/>
      <c r="L13" s="72" t="s">
        <v>729</v>
      </c>
      <c r="M13" s="73">
        <v>3160</v>
      </c>
      <c r="N13" s="72" t="s">
        <v>730</v>
      </c>
      <c r="O13" s="73">
        <v>2356</v>
      </c>
      <c r="P13" s="73">
        <v>1037</v>
      </c>
      <c r="Q13" s="72" t="s">
        <v>731</v>
      </c>
      <c r="R13" s="72" t="s">
        <v>732</v>
      </c>
      <c r="S13" s="74" t="s">
        <v>578</v>
      </c>
      <c r="T13" s="85">
        <f t="shared" si="0"/>
        <v>0.57769214301006211</v>
      </c>
      <c r="U13" s="84"/>
      <c r="V13" s="84"/>
    </row>
    <row r="14" spans="1:22" x14ac:dyDescent="0.45">
      <c r="A14" s="72" t="s">
        <v>18</v>
      </c>
      <c r="B14" s="72">
        <v>28415</v>
      </c>
      <c r="C14" s="74" t="s">
        <v>617</v>
      </c>
      <c r="D14" s="85">
        <v>0.11250273292313499</v>
      </c>
      <c r="E14" s="72">
        <v>4696</v>
      </c>
      <c r="F14" s="74" t="s">
        <v>569</v>
      </c>
      <c r="G14" s="85">
        <v>0.239514170040486</v>
      </c>
      <c r="I14" s="86"/>
      <c r="J14" s="84"/>
      <c r="L14" s="72" t="s">
        <v>733</v>
      </c>
      <c r="M14" s="73">
        <v>3135</v>
      </c>
      <c r="N14" s="72" t="s">
        <v>462</v>
      </c>
      <c r="O14" s="73">
        <v>2356</v>
      </c>
      <c r="P14" s="73">
        <v>1107</v>
      </c>
      <c r="Q14" s="72" t="s">
        <v>734</v>
      </c>
      <c r="R14" s="72" t="s">
        <v>735</v>
      </c>
      <c r="S14" s="74" t="s">
        <v>578</v>
      </c>
      <c r="T14" s="85">
        <f t="shared" si="0"/>
        <v>0.58300149860843509</v>
      </c>
      <c r="U14" s="84"/>
      <c r="V14" s="84"/>
    </row>
    <row r="15" spans="1:22" x14ac:dyDescent="0.45">
      <c r="A15" s="72" t="s">
        <v>19</v>
      </c>
      <c r="B15" s="72">
        <v>28572</v>
      </c>
      <c r="C15" s="74" t="s">
        <v>620</v>
      </c>
      <c r="D15" s="85">
        <v>0.107599087984508</v>
      </c>
      <c r="E15" s="72">
        <v>5876</v>
      </c>
      <c r="F15" s="74" t="s">
        <v>621</v>
      </c>
      <c r="G15" s="85">
        <v>4.8421052631578899E-2</v>
      </c>
      <c r="I15" s="86"/>
      <c r="J15" s="84"/>
      <c r="L15" s="72" t="s">
        <v>736</v>
      </c>
      <c r="M15" s="73">
        <v>3152</v>
      </c>
      <c r="N15" s="72" t="s">
        <v>355</v>
      </c>
      <c r="O15" s="73">
        <v>2644</v>
      </c>
      <c r="P15" s="73">
        <v>1127</v>
      </c>
      <c r="Q15" s="72" t="s">
        <v>737</v>
      </c>
      <c r="R15" s="72" t="s">
        <v>738</v>
      </c>
      <c r="S15" s="74" t="s">
        <v>578</v>
      </c>
      <c r="T15" s="85">
        <f t="shared" si="0"/>
        <v>0.44727039177906236</v>
      </c>
      <c r="U15" s="84"/>
      <c r="V15" s="84"/>
    </row>
    <row r="16" spans="1:22" x14ac:dyDescent="0.45">
      <c r="A16" s="72" t="s">
        <v>20</v>
      </c>
      <c r="B16" s="72">
        <v>28964</v>
      </c>
      <c r="C16" s="74" t="s">
        <v>490</v>
      </c>
      <c r="D16" s="85">
        <v>9.5355592341568499E-2</v>
      </c>
      <c r="E16" s="72">
        <v>4852</v>
      </c>
      <c r="F16" s="74" t="s">
        <v>622</v>
      </c>
      <c r="G16" s="85">
        <v>0.21425101214574899</v>
      </c>
      <c r="I16" s="86"/>
      <c r="J16" s="84"/>
      <c r="L16" s="72" t="s">
        <v>739</v>
      </c>
      <c r="M16" s="73">
        <v>2992</v>
      </c>
      <c r="N16" s="72" t="s">
        <v>740</v>
      </c>
      <c r="O16" s="73">
        <v>2356</v>
      </c>
      <c r="P16" s="73">
        <v>1149</v>
      </c>
      <c r="Q16" s="72" t="s">
        <v>741</v>
      </c>
      <c r="R16" s="72" t="s">
        <v>742</v>
      </c>
      <c r="S16" s="74" t="s">
        <v>578</v>
      </c>
      <c r="T16" s="85">
        <f t="shared" si="0"/>
        <v>0.45900235495611219</v>
      </c>
      <c r="U16" s="84"/>
      <c r="V16" s="84"/>
    </row>
    <row r="17" spans="1:22" x14ac:dyDescent="0.45">
      <c r="A17" s="72" t="s">
        <v>21</v>
      </c>
      <c r="B17" s="72">
        <v>30702</v>
      </c>
      <c r="C17" s="74" t="s">
        <v>623</v>
      </c>
      <c r="D17" s="85">
        <v>4.10719305369023E-2</v>
      </c>
      <c r="E17" s="72">
        <v>4920</v>
      </c>
      <c r="F17" s="74" t="s">
        <v>624</v>
      </c>
      <c r="G17" s="85">
        <v>0.203238866396761</v>
      </c>
      <c r="I17" s="86"/>
      <c r="J17" s="84"/>
      <c r="L17" s="72" t="s">
        <v>743</v>
      </c>
      <c r="M17" s="73">
        <v>3299</v>
      </c>
      <c r="N17" s="72" t="s">
        <v>407</v>
      </c>
      <c r="O17" s="73">
        <v>2956</v>
      </c>
      <c r="P17" s="72" t="s">
        <v>744</v>
      </c>
      <c r="Q17" s="72" t="s">
        <v>745</v>
      </c>
      <c r="R17" s="72" t="s">
        <v>746</v>
      </c>
      <c r="S17" s="74" t="s">
        <v>617</v>
      </c>
      <c r="T17" s="85">
        <f t="shared" si="0"/>
        <v>0.29621066152858067</v>
      </c>
      <c r="U17" s="84"/>
      <c r="V17" s="84"/>
    </row>
    <row r="18" spans="1:22" x14ac:dyDescent="0.45">
      <c r="L18" s="72" t="s">
        <v>747</v>
      </c>
      <c r="M18" s="73">
        <v>3179</v>
      </c>
      <c r="N18" s="72" t="s">
        <v>748</v>
      </c>
      <c r="O18" s="73">
        <v>3178</v>
      </c>
      <c r="P18" s="73">
        <v>1195</v>
      </c>
      <c r="Q18" s="72" t="s">
        <v>527</v>
      </c>
      <c r="R18" s="72" t="s">
        <v>749</v>
      </c>
      <c r="S18" s="74" t="s">
        <v>750</v>
      </c>
      <c r="T18" s="85">
        <f t="shared" si="0"/>
        <v>9.6638835367159004E-2</v>
      </c>
      <c r="U18" s="84"/>
      <c r="V18" s="84"/>
    </row>
    <row r="19" spans="1:22" ht="14.25" customHeight="1" x14ac:dyDescent="0.45">
      <c r="A19" s="126" t="s">
        <v>610</v>
      </c>
      <c r="B19" s="126"/>
      <c r="C19" s="126"/>
      <c r="D19" s="126"/>
      <c r="E19" s="126"/>
      <c r="F19" s="126"/>
      <c r="G19" s="126"/>
      <c r="L19" s="72" t="s">
        <v>751</v>
      </c>
      <c r="M19" s="73">
        <v>3401</v>
      </c>
      <c r="N19" s="72" t="s">
        <v>424</v>
      </c>
      <c r="O19" s="73">
        <v>3667</v>
      </c>
      <c r="P19" s="72" t="s">
        <v>204</v>
      </c>
      <c r="Q19" s="72" t="s">
        <v>752</v>
      </c>
      <c r="R19" s="72" t="s">
        <v>753</v>
      </c>
      <c r="S19" s="74" t="s">
        <v>617</v>
      </c>
      <c r="T19" s="85">
        <f t="shared" si="0"/>
        <v>-7.8826803682294999E-2</v>
      </c>
      <c r="U19" s="84"/>
      <c r="V19" s="84"/>
    </row>
    <row r="20" spans="1:22" ht="28.5" x14ac:dyDescent="0.45">
      <c r="A20" s="70" t="s">
        <v>399</v>
      </c>
      <c r="B20" s="70" t="s">
        <v>586</v>
      </c>
      <c r="C20" s="70" t="s">
        <v>587</v>
      </c>
      <c r="D20" s="70" t="s">
        <v>608</v>
      </c>
      <c r="E20" s="70" t="s">
        <v>609</v>
      </c>
      <c r="F20" s="70" t="s">
        <v>535</v>
      </c>
      <c r="G20" s="70" t="s">
        <v>797</v>
      </c>
      <c r="L20" s="72" t="s">
        <v>754</v>
      </c>
      <c r="M20" s="73">
        <v>3320</v>
      </c>
      <c r="N20" s="72" t="s">
        <v>145</v>
      </c>
      <c r="O20" s="73">
        <v>3156</v>
      </c>
      <c r="P20" s="73">
        <v>1178</v>
      </c>
      <c r="Q20" s="72" t="s">
        <v>755</v>
      </c>
      <c r="R20" s="72" t="s">
        <v>756</v>
      </c>
      <c r="S20" s="74" t="s">
        <v>757</v>
      </c>
      <c r="T20" s="85">
        <f t="shared" si="0"/>
        <v>0.18822521943909232</v>
      </c>
      <c r="U20" s="84"/>
      <c r="V20" s="84"/>
    </row>
    <row r="21" spans="1:22" x14ac:dyDescent="0.45">
      <c r="A21" s="72" t="s">
        <v>16</v>
      </c>
      <c r="B21" s="72" t="s">
        <v>588</v>
      </c>
      <c r="C21" s="74" t="s">
        <v>589</v>
      </c>
      <c r="D21" s="72" t="s">
        <v>590</v>
      </c>
      <c r="E21" s="72" t="s">
        <v>591</v>
      </c>
      <c r="F21" s="82" t="s">
        <v>497</v>
      </c>
      <c r="G21" s="82" t="s">
        <v>680</v>
      </c>
      <c r="L21" s="72" t="s">
        <v>758</v>
      </c>
      <c r="M21" s="73">
        <v>3152</v>
      </c>
      <c r="N21" s="72" t="s">
        <v>759</v>
      </c>
      <c r="O21" s="73">
        <v>2911</v>
      </c>
      <c r="P21" s="73">
        <v>1190</v>
      </c>
      <c r="Q21" s="72" t="s">
        <v>760</v>
      </c>
      <c r="R21" s="72" t="s">
        <v>761</v>
      </c>
      <c r="S21" s="74" t="s">
        <v>762</v>
      </c>
      <c r="T21" s="85">
        <f t="shared" si="0"/>
        <v>0.22838792549775211</v>
      </c>
      <c r="U21" s="84"/>
      <c r="V21" s="84"/>
    </row>
    <row r="22" spans="1:22" x14ac:dyDescent="0.45">
      <c r="A22" s="72" t="s">
        <v>17</v>
      </c>
      <c r="B22" s="72" t="s">
        <v>594</v>
      </c>
      <c r="C22" s="74" t="s">
        <v>595</v>
      </c>
      <c r="D22" s="72" t="s">
        <v>596</v>
      </c>
      <c r="E22" s="72" t="s">
        <v>597</v>
      </c>
      <c r="F22" s="82" t="s">
        <v>488</v>
      </c>
      <c r="G22" s="82" t="s">
        <v>808</v>
      </c>
      <c r="L22" s="72" t="s">
        <v>763</v>
      </c>
      <c r="M22" s="73">
        <v>3145</v>
      </c>
      <c r="N22" s="72" t="s">
        <v>447</v>
      </c>
      <c r="O22" s="73">
        <v>3111</v>
      </c>
      <c r="P22" s="73">
        <v>1033</v>
      </c>
      <c r="Q22" s="72" t="s">
        <v>495</v>
      </c>
      <c r="R22" s="72" t="s">
        <v>764</v>
      </c>
      <c r="S22" s="74" t="s">
        <v>424</v>
      </c>
      <c r="T22" s="85">
        <f t="shared" si="0"/>
        <v>0.11950331834724892</v>
      </c>
      <c r="U22" s="84"/>
      <c r="V22" s="84"/>
    </row>
    <row r="23" spans="1:22" x14ac:dyDescent="0.45">
      <c r="A23" s="72" t="s">
        <v>18</v>
      </c>
      <c r="B23" s="72" t="s">
        <v>592</v>
      </c>
      <c r="C23" s="74" t="s">
        <v>593</v>
      </c>
      <c r="D23" s="72" t="s">
        <v>590</v>
      </c>
      <c r="E23" s="72" t="s">
        <v>494</v>
      </c>
      <c r="F23" s="82" t="s">
        <v>807</v>
      </c>
      <c r="G23" s="82" t="s">
        <v>684</v>
      </c>
      <c r="L23" s="72" t="s">
        <v>765</v>
      </c>
      <c r="M23" s="73">
        <v>3237</v>
      </c>
      <c r="N23" s="72" t="s">
        <v>766</v>
      </c>
      <c r="O23" s="73">
        <v>3667</v>
      </c>
      <c r="P23" s="73">
        <v>1028</v>
      </c>
      <c r="Q23" s="72" t="s">
        <v>767</v>
      </c>
      <c r="R23" s="72" t="s">
        <v>768</v>
      </c>
      <c r="S23" s="74" t="s">
        <v>635</v>
      </c>
      <c r="T23" s="85">
        <f t="shared" si="0"/>
        <v>-0.16043673731535002</v>
      </c>
      <c r="U23" s="84"/>
      <c r="V23" s="84"/>
    </row>
    <row r="24" spans="1:22" x14ac:dyDescent="0.45">
      <c r="A24" s="72" t="s">
        <v>19</v>
      </c>
      <c r="B24" s="72" t="s">
        <v>598</v>
      </c>
      <c r="C24" s="74" t="s">
        <v>599</v>
      </c>
      <c r="D24" s="72" t="s">
        <v>600</v>
      </c>
      <c r="E24" s="72" t="s">
        <v>601</v>
      </c>
      <c r="F24" s="82" t="s">
        <v>809</v>
      </c>
      <c r="G24" s="82" t="s">
        <v>783</v>
      </c>
      <c r="L24" s="72" t="s">
        <v>769</v>
      </c>
      <c r="M24" s="73">
        <v>3295</v>
      </c>
      <c r="N24" s="72" t="s">
        <v>770</v>
      </c>
      <c r="O24" s="73">
        <v>3111</v>
      </c>
      <c r="P24" s="73">
        <v>1058</v>
      </c>
      <c r="Q24" s="72" t="s">
        <v>771</v>
      </c>
      <c r="R24" s="72" t="s">
        <v>772</v>
      </c>
      <c r="S24" s="74" t="s">
        <v>773</v>
      </c>
      <c r="T24" s="85">
        <f t="shared" si="0"/>
        <v>0.12832369942196542</v>
      </c>
      <c r="U24" s="84"/>
      <c r="V24" s="84"/>
    </row>
    <row r="25" spans="1:22" x14ac:dyDescent="0.45">
      <c r="A25" s="72" t="s">
        <v>20</v>
      </c>
      <c r="B25" s="72" t="s">
        <v>602</v>
      </c>
      <c r="C25" s="74" t="s">
        <v>603</v>
      </c>
      <c r="D25" s="72" t="s">
        <v>497</v>
      </c>
      <c r="E25" s="72" t="s">
        <v>604</v>
      </c>
      <c r="F25" s="82" t="s">
        <v>810</v>
      </c>
      <c r="G25" s="82" t="s">
        <v>811</v>
      </c>
      <c r="L25" s="72" t="s">
        <v>774</v>
      </c>
      <c r="M25" s="73">
        <v>3044</v>
      </c>
      <c r="N25" s="72" t="s">
        <v>162</v>
      </c>
      <c r="O25" s="73">
        <v>2822</v>
      </c>
      <c r="P25" s="73">
        <v>1118</v>
      </c>
      <c r="Q25" s="72" t="s">
        <v>775</v>
      </c>
      <c r="R25" s="72" t="s">
        <v>776</v>
      </c>
      <c r="S25" s="74" t="s">
        <v>728</v>
      </c>
      <c r="T25" s="85">
        <f t="shared" si="0"/>
        <v>0.22954399486191401</v>
      </c>
      <c r="U25" s="84"/>
      <c r="V25" s="84"/>
    </row>
    <row r="26" spans="1:22" x14ac:dyDescent="0.45">
      <c r="A26" s="72" t="s">
        <v>21</v>
      </c>
      <c r="B26" s="72" t="s">
        <v>605</v>
      </c>
      <c r="C26" s="74" t="s">
        <v>510</v>
      </c>
      <c r="D26" s="72" t="s">
        <v>606</v>
      </c>
      <c r="E26" s="72" t="s">
        <v>607</v>
      </c>
      <c r="F26" s="82" t="s">
        <v>514</v>
      </c>
      <c r="G26" s="82" t="s">
        <v>232</v>
      </c>
      <c r="L26" s="72" t="s">
        <v>777</v>
      </c>
      <c r="M26" s="73">
        <v>3270</v>
      </c>
      <c r="N26" s="72" t="s">
        <v>778</v>
      </c>
      <c r="O26" s="73">
        <v>3356</v>
      </c>
      <c r="P26" s="73">
        <v>1091</v>
      </c>
      <c r="Q26" s="72" t="s">
        <v>779</v>
      </c>
      <c r="R26" s="72" t="s">
        <v>780</v>
      </c>
      <c r="S26" s="74" t="s">
        <v>781</v>
      </c>
      <c r="T26" s="85">
        <f t="shared" si="0"/>
        <v>3.1042603296938642E-2</v>
      </c>
      <c r="U26" s="84"/>
      <c r="V26" s="84"/>
    </row>
    <row r="27" spans="1:22" x14ac:dyDescent="0.45">
      <c r="L27" s="72" t="s">
        <v>782</v>
      </c>
      <c r="M27" s="73">
        <v>3216</v>
      </c>
      <c r="N27" s="72" t="s">
        <v>142</v>
      </c>
      <c r="O27" s="73">
        <v>3156</v>
      </c>
      <c r="P27" s="73">
        <v>1007</v>
      </c>
      <c r="Q27" s="72" t="s">
        <v>783</v>
      </c>
      <c r="R27" s="72" t="s">
        <v>784</v>
      </c>
      <c r="S27" s="74" t="s">
        <v>560</v>
      </c>
      <c r="T27" s="85">
        <f t="shared" si="0"/>
        <v>0.14365232284307439</v>
      </c>
      <c r="U27" s="84"/>
      <c r="V27" s="84"/>
    </row>
    <row r="28" spans="1:22" x14ac:dyDescent="0.45">
      <c r="A28" s="126" t="s">
        <v>799</v>
      </c>
      <c r="B28" s="126"/>
      <c r="C28" s="126"/>
      <c r="D28" s="126"/>
      <c r="E28" s="126"/>
      <c r="F28" s="126"/>
      <c r="G28" s="126"/>
      <c r="H28" s="126"/>
      <c r="I28" s="126"/>
      <c r="J28" s="126"/>
      <c r="K28" s="54"/>
      <c r="L28" s="72" t="s">
        <v>785</v>
      </c>
      <c r="M28" s="73">
        <v>2933</v>
      </c>
      <c r="N28" s="72" t="s">
        <v>786</v>
      </c>
      <c r="O28" s="73">
        <v>2178</v>
      </c>
      <c r="P28" s="72" t="s">
        <v>787</v>
      </c>
      <c r="Q28" s="72" t="s">
        <v>788</v>
      </c>
      <c r="R28" s="72" t="s">
        <v>789</v>
      </c>
      <c r="S28" s="74" t="s">
        <v>578</v>
      </c>
      <c r="T28" s="85">
        <f t="shared" si="0"/>
        <v>0.57991864697067008</v>
      </c>
      <c r="U28" s="84"/>
      <c r="V28" s="84"/>
    </row>
    <row r="29" spans="1:22" ht="28.5" x14ac:dyDescent="0.45">
      <c r="A29" s="70" t="s">
        <v>399</v>
      </c>
      <c r="B29" s="70" t="s">
        <v>649</v>
      </c>
      <c r="C29" s="70" t="s">
        <v>626</v>
      </c>
      <c r="D29" s="70" t="s">
        <v>627</v>
      </c>
      <c r="E29" s="56" t="s">
        <v>540</v>
      </c>
      <c r="F29" s="56" t="s">
        <v>541</v>
      </c>
      <c r="G29" s="56" t="s">
        <v>542</v>
      </c>
      <c r="H29" s="70" t="s">
        <v>650</v>
      </c>
      <c r="I29" s="70" t="s">
        <v>651</v>
      </c>
      <c r="J29" s="70" t="s">
        <v>652</v>
      </c>
      <c r="K29" s="56"/>
      <c r="L29" s="72" t="s">
        <v>790</v>
      </c>
      <c r="M29" s="73">
        <v>2994</v>
      </c>
      <c r="N29" s="72" t="s">
        <v>759</v>
      </c>
      <c r="O29" s="73">
        <v>2444</v>
      </c>
      <c r="P29" s="72" t="s">
        <v>40</v>
      </c>
      <c r="Q29" s="72" t="s">
        <v>791</v>
      </c>
      <c r="R29" s="72" t="s">
        <v>792</v>
      </c>
      <c r="S29" s="74" t="s">
        <v>578</v>
      </c>
      <c r="T29" s="85">
        <f t="shared" si="0"/>
        <v>0.4807107685720402</v>
      </c>
      <c r="U29" s="84"/>
      <c r="V29" s="84"/>
    </row>
    <row r="30" spans="1:22" x14ac:dyDescent="0.45">
      <c r="A30" s="72" t="s">
        <v>16</v>
      </c>
      <c r="B30" s="73">
        <v>48157</v>
      </c>
      <c r="C30" s="74" t="s">
        <v>628</v>
      </c>
      <c r="D30" s="72" t="s">
        <v>494</v>
      </c>
      <c r="E30" s="73">
        <v>6415</v>
      </c>
      <c r="F30" s="72" t="s">
        <v>629</v>
      </c>
      <c r="G30" s="72" t="s">
        <v>514</v>
      </c>
      <c r="H30" s="73">
        <v>1625</v>
      </c>
      <c r="I30" s="72" t="s">
        <v>169</v>
      </c>
      <c r="J30" s="72" t="s">
        <v>630</v>
      </c>
      <c r="K30" s="54"/>
      <c r="L30" s="72" t="s">
        <v>793</v>
      </c>
      <c r="M30" s="73">
        <v>3262</v>
      </c>
      <c r="N30" s="72" t="s">
        <v>442</v>
      </c>
      <c r="O30" s="73">
        <v>3133</v>
      </c>
      <c r="P30" s="72" t="s">
        <v>759</v>
      </c>
      <c r="Q30" s="72" t="s">
        <v>491</v>
      </c>
      <c r="R30" s="72" t="s">
        <v>794</v>
      </c>
      <c r="S30" s="74" t="s">
        <v>795</v>
      </c>
      <c r="T30" s="85">
        <f t="shared" si="0"/>
        <v>0.16441875401412975</v>
      </c>
      <c r="U30" s="84"/>
      <c r="V30" s="84"/>
    </row>
    <row r="31" spans="1:22" x14ac:dyDescent="0.45">
      <c r="A31" s="72" t="s">
        <v>17</v>
      </c>
      <c r="B31" s="73">
        <v>57879</v>
      </c>
      <c r="C31" s="74" t="s">
        <v>635</v>
      </c>
      <c r="D31" s="72" t="s">
        <v>636</v>
      </c>
      <c r="E31" s="73">
        <v>9620</v>
      </c>
      <c r="F31" s="72" t="s">
        <v>637</v>
      </c>
      <c r="G31" s="72" t="s">
        <v>525</v>
      </c>
      <c r="H31" s="73">
        <v>3590</v>
      </c>
      <c r="I31" s="72" t="s">
        <v>565</v>
      </c>
      <c r="J31" s="72" t="s">
        <v>499</v>
      </c>
      <c r="K31" s="54"/>
    </row>
    <row r="32" spans="1:22" x14ac:dyDescent="0.45">
      <c r="A32" s="72" t="s">
        <v>18</v>
      </c>
      <c r="B32" s="73">
        <v>53239</v>
      </c>
      <c r="C32" s="74" t="s">
        <v>631</v>
      </c>
      <c r="D32" s="72" t="s">
        <v>632</v>
      </c>
      <c r="E32" s="73">
        <v>8238</v>
      </c>
      <c r="F32" s="72" t="s">
        <v>510</v>
      </c>
      <c r="G32" s="72" t="s">
        <v>633</v>
      </c>
      <c r="H32" s="73">
        <v>2510</v>
      </c>
      <c r="I32" s="72" t="s">
        <v>634</v>
      </c>
      <c r="J32" s="72" t="s">
        <v>485</v>
      </c>
      <c r="K32" s="54"/>
    </row>
    <row r="33" spans="1:11" x14ac:dyDescent="0.45">
      <c r="A33" s="72" t="s">
        <v>19</v>
      </c>
      <c r="B33" s="73">
        <v>47767</v>
      </c>
      <c r="C33" s="74" t="s">
        <v>638</v>
      </c>
      <c r="D33" s="72" t="s">
        <v>519</v>
      </c>
      <c r="E33" s="73">
        <v>11473</v>
      </c>
      <c r="F33" s="72" t="s">
        <v>639</v>
      </c>
      <c r="G33" s="72" t="s">
        <v>640</v>
      </c>
      <c r="H33" s="73">
        <v>2530</v>
      </c>
      <c r="I33" s="72" t="s">
        <v>641</v>
      </c>
      <c r="J33" s="72" t="s">
        <v>485</v>
      </c>
      <c r="K33" s="54"/>
    </row>
    <row r="34" spans="1:11" x14ac:dyDescent="0.45">
      <c r="A34" s="72" t="s">
        <v>20</v>
      </c>
      <c r="B34" s="73">
        <v>48464</v>
      </c>
      <c r="C34" s="74" t="s">
        <v>642</v>
      </c>
      <c r="D34" s="72" t="s">
        <v>643</v>
      </c>
      <c r="E34" s="73">
        <v>7306</v>
      </c>
      <c r="F34" s="72" t="s">
        <v>644</v>
      </c>
      <c r="G34" s="72" t="s">
        <v>512</v>
      </c>
      <c r="H34" s="73">
        <v>3625</v>
      </c>
      <c r="I34" s="72" t="s">
        <v>645</v>
      </c>
      <c r="J34" s="72" t="s">
        <v>499</v>
      </c>
      <c r="K34" s="54"/>
    </row>
    <row r="35" spans="1:11" x14ac:dyDescent="0.45">
      <c r="A35" s="72" t="s">
        <v>21</v>
      </c>
      <c r="B35" s="73">
        <v>41672</v>
      </c>
      <c r="C35" s="74" t="s">
        <v>646</v>
      </c>
      <c r="D35" s="72" t="s">
        <v>469</v>
      </c>
      <c r="E35" s="73">
        <v>5591</v>
      </c>
      <c r="F35" s="72" t="s">
        <v>647</v>
      </c>
      <c r="G35" s="72" t="s">
        <v>531</v>
      </c>
      <c r="H35" s="73">
        <v>1829</v>
      </c>
      <c r="I35" s="72" t="s">
        <v>648</v>
      </c>
      <c r="J35" s="72" t="s">
        <v>486</v>
      </c>
      <c r="K35" s="54"/>
    </row>
    <row r="37" spans="1:11" x14ac:dyDescent="0.45">
      <c r="A37" s="126" t="s">
        <v>687</v>
      </c>
      <c r="B37" s="126"/>
      <c r="C37" s="126"/>
      <c r="D37" s="126"/>
      <c r="E37" s="126"/>
      <c r="F37" s="126"/>
      <c r="G37" s="126"/>
      <c r="H37" s="126"/>
    </row>
    <row r="38" spans="1:11" x14ac:dyDescent="0.45">
      <c r="A38" s="70" t="s">
        <v>399</v>
      </c>
      <c r="B38" s="70" t="s">
        <v>276</v>
      </c>
      <c r="C38" s="70" t="s">
        <v>277</v>
      </c>
      <c r="D38" s="70" t="s">
        <v>278</v>
      </c>
      <c r="E38" s="70" t="s">
        <v>279</v>
      </c>
      <c r="F38" s="70" t="s">
        <v>280</v>
      </c>
      <c r="G38" s="70" t="s">
        <v>281</v>
      </c>
      <c r="H38" s="70" t="s">
        <v>282</v>
      </c>
    </row>
    <row r="39" spans="1:11" x14ac:dyDescent="0.45">
      <c r="A39" s="70" t="s">
        <v>16</v>
      </c>
      <c r="B39" s="72" t="s">
        <v>467</v>
      </c>
      <c r="C39" s="72" t="s">
        <v>653</v>
      </c>
      <c r="D39" s="72" t="s">
        <v>654</v>
      </c>
      <c r="E39" s="72" t="s">
        <v>655</v>
      </c>
      <c r="F39" s="72" t="s">
        <v>656</v>
      </c>
      <c r="G39" s="72" t="s">
        <v>657</v>
      </c>
      <c r="H39" s="72" t="s">
        <v>658</v>
      </c>
    </row>
    <row r="40" spans="1:11" x14ac:dyDescent="0.45">
      <c r="A40" s="70" t="s">
        <v>17</v>
      </c>
      <c r="B40" s="72" t="s">
        <v>666</v>
      </c>
      <c r="C40" s="72" t="s">
        <v>667</v>
      </c>
      <c r="D40" s="72" t="s">
        <v>656</v>
      </c>
      <c r="E40" s="72" t="s">
        <v>668</v>
      </c>
      <c r="F40" s="72" t="s">
        <v>669</v>
      </c>
      <c r="G40" s="72" t="s">
        <v>467</v>
      </c>
      <c r="H40" s="72" t="s">
        <v>530</v>
      </c>
    </row>
    <row r="41" spans="1:11" x14ac:dyDescent="0.45">
      <c r="A41" s="70" t="s">
        <v>18</v>
      </c>
      <c r="B41" s="72" t="s">
        <v>659</v>
      </c>
      <c r="C41" s="72" t="s">
        <v>660</v>
      </c>
      <c r="D41" s="72" t="s">
        <v>661</v>
      </c>
      <c r="E41" s="72" t="s">
        <v>662</v>
      </c>
      <c r="F41" s="72" t="s">
        <v>663</v>
      </c>
      <c r="G41" s="72" t="s">
        <v>664</v>
      </c>
      <c r="H41" s="72" t="s">
        <v>665</v>
      </c>
    </row>
    <row r="42" spans="1:11" x14ac:dyDescent="0.45">
      <c r="A42" s="70" t="s">
        <v>19</v>
      </c>
      <c r="B42" s="72" t="s">
        <v>670</v>
      </c>
      <c r="C42" s="72" t="s">
        <v>671</v>
      </c>
      <c r="D42" s="72" t="s">
        <v>672</v>
      </c>
      <c r="E42" s="72" t="s">
        <v>673</v>
      </c>
      <c r="F42" s="72" t="s">
        <v>674</v>
      </c>
      <c r="G42" s="72" t="s">
        <v>675</v>
      </c>
      <c r="H42" s="72" t="s">
        <v>676</v>
      </c>
    </row>
    <row r="43" spans="1:11" x14ac:dyDescent="0.45">
      <c r="A43" s="70" t="s">
        <v>20</v>
      </c>
      <c r="B43" s="72" t="s">
        <v>677</v>
      </c>
      <c r="C43" s="72" t="s">
        <v>678</v>
      </c>
      <c r="D43" s="72" t="s">
        <v>660</v>
      </c>
      <c r="E43" s="72" t="s">
        <v>679</v>
      </c>
      <c r="F43" s="72" t="s">
        <v>679</v>
      </c>
      <c r="G43" s="72" t="s">
        <v>662</v>
      </c>
      <c r="H43" s="72" t="s">
        <v>680</v>
      </c>
    </row>
    <row r="44" spans="1:11" x14ac:dyDescent="0.45">
      <c r="A44" s="70" t="s">
        <v>21</v>
      </c>
      <c r="B44" s="72" t="s">
        <v>681</v>
      </c>
      <c r="C44" s="72" t="s">
        <v>682</v>
      </c>
      <c r="D44" s="72" t="s">
        <v>683</v>
      </c>
      <c r="E44" s="72" t="s">
        <v>684</v>
      </c>
      <c r="F44" s="72" t="s">
        <v>685</v>
      </c>
      <c r="G44" s="72" t="s">
        <v>686</v>
      </c>
      <c r="H44" s="72" t="s">
        <v>498</v>
      </c>
    </row>
  </sheetData>
  <mergeCells count="6">
    <mergeCell ref="A37:H37"/>
    <mergeCell ref="A19:G19"/>
    <mergeCell ref="L1:T1"/>
    <mergeCell ref="A1:I1"/>
    <mergeCell ref="A10:G10"/>
    <mergeCell ref="A28:J28"/>
  </mergeCells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5EC033-C9B1-484B-8177-26C664BB99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Degree program</vt:lpstr>
      <vt:lpstr>Field of knowledge</vt:lpstr>
      <vt:lpstr>Modality</vt:lpstr>
      <vt:lpstr>Gender</vt:lpstr>
      <vt:lpstr>Freq_analysis</vt:lpstr>
      <vt:lpstr>Percep_analysis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VivoBook PRO</dc:creator>
  <cp:lastModifiedBy>Est. Amanda Fernanda Guachichullca Sanchez</cp:lastModifiedBy>
  <dcterms:created xsi:type="dcterms:W3CDTF">2026-03-31T17:32:37Z</dcterms:created>
  <dcterms:modified xsi:type="dcterms:W3CDTF">2026-09-18T14:46:30Z</dcterms:modified>
</cp:coreProperties>
</file>